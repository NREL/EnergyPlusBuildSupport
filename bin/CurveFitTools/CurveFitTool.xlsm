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165" windowWidth="14805" windowHeight="7950" activeTab="1"/>
  </bookViews>
  <sheets>
    <sheet name="INSTRUCTION" sheetId="1" r:id="rId1"/>
    <sheet name="INPUT" sheetId="2" r:id="rId2"/>
    <sheet name="OUTPUT" sheetId="3" r:id="rId3"/>
  </sheets>
  <functionGroups builtInGroupCount="17"/>
  <definedNames>
    <definedName name="CoolingCoil">INPUT!$B$13</definedName>
    <definedName name="CurveObjName">INPUT!$B$8</definedName>
    <definedName name="CurveType">INPUT!$B$5</definedName>
    <definedName name="DXCoilType">INPUT!$B$3</definedName>
    <definedName name="EPCurveObjName">OUTPUT!$C$2</definedName>
    <definedName name="HeatingCoil">INPUT!$B$13</definedName>
    <definedName name="IndVariables">INPUT!$B$4</definedName>
    <definedName name="PathName">OUTPUT!$C$3</definedName>
    <definedName name="RatedCondition">INPUT!$B$11</definedName>
    <definedName name="UnitsType">INPUT!$B$6</definedName>
  </definedNames>
  <calcPr calcId="145621"/>
</workbook>
</file>

<file path=xl/calcChain.xml><?xml version="1.0" encoding="utf-8"?>
<calcChain xmlns="http://schemas.openxmlformats.org/spreadsheetml/2006/main">
  <c r="V131" i="1" l="1"/>
  <c r="M131" i="1" l="1"/>
  <c r="T131" i="1"/>
  <c r="T244" i="1"/>
  <c r="L262" i="1"/>
  <c r="K262" i="1"/>
  <c r="I158" i="1"/>
  <c r="I159" i="1"/>
  <c r="J159" i="1"/>
  <c r="I160" i="1"/>
  <c r="J160" i="1"/>
  <c r="I161" i="1"/>
  <c r="J161" i="1"/>
  <c r="I162" i="1"/>
  <c r="J162" i="1"/>
  <c r="I163" i="1"/>
  <c r="J163" i="1"/>
  <c r="I164" i="1"/>
  <c r="J164" i="1"/>
  <c r="I165" i="1"/>
  <c r="J165" i="1"/>
  <c r="I166" i="1"/>
  <c r="J166" i="1"/>
  <c r="I167" i="1"/>
  <c r="J167" i="1"/>
  <c r="I168" i="1"/>
  <c r="J168" i="1"/>
  <c r="I169" i="1"/>
  <c r="J169" i="1"/>
  <c r="I170" i="1"/>
  <c r="J170" i="1"/>
  <c r="I171" i="1"/>
  <c r="J171" i="1"/>
  <c r="I172" i="1"/>
  <c r="J172" i="1"/>
  <c r="I173" i="1"/>
  <c r="J173" i="1"/>
  <c r="I174" i="1"/>
  <c r="J174" i="1"/>
  <c r="I175" i="1"/>
  <c r="J175" i="1"/>
  <c r="I176" i="1"/>
  <c r="J176" i="1"/>
  <c r="I177" i="1"/>
  <c r="J177" i="1"/>
  <c r="L159" i="1"/>
  <c r="L160" i="1"/>
  <c r="L161" i="1"/>
  <c r="L162" i="1"/>
  <c r="L163" i="1"/>
  <c r="L164" i="1"/>
  <c r="L165" i="1"/>
  <c r="L166" i="1"/>
  <c r="L167" i="1"/>
  <c r="L168" i="1"/>
  <c r="L169" i="1"/>
  <c r="L170" i="1"/>
  <c r="L171" i="1"/>
  <c r="L172" i="1"/>
  <c r="L173" i="1"/>
  <c r="L174" i="1"/>
  <c r="L175" i="1"/>
  <c r="L176" i="1"/>
  <c r="L177" i="1"/>
  <c r="K159" i="1"/>
  <c r="K160" i="1"/>
  <c r="K161" i="1"/>
  <c r="K162" i="1"/>
  <c r="K163" i="1"/>
  <c r="K164" i="1"/>
  <c r="K165" i="1"/>
  <c r="K166" i="1"/>
  <c r="K167" i="1"/>
  <c r="K168" i="1"/>
  <c r="K169" i="1"/>
  <c r="K170" i="1"/>
  <c r="K171" i="1"/>
  <c r="K172" i="1"/>
  <c r="K173" i="1"/>
  <c r="K174" i="1"/>
  <c r="K175" i="1"/>
  <c r="K176" i="1"/>
  <c r="K177" i="1"/>
  <c r="K158" i="1"/>
  <c r="V132" i="1"/>
  <c r="V133" i="1"/>
  <c r="V134" i="1"/>
  <c r="V135" i="1"/>
  <c r="S144" i="1"/>
  <c r="T132" i="1"/>
  <c r="T133" i="1"/>
  <c r="T134" i="1"/>
  <c r="T135" i="1"/>
  <c r="M132" i="1"/>
  <c r="M133" i="1"/>
  <c r="M134" i="1"/>
  <c r="M135" i="1"/>
  <c r="M136" i="1"/>
  <c r="M137" i="1"/>
  <c r="M138" i="1"/>
  <c r="M139" i="1"/>
  <c r="M140" i="1"/>
  <c r="M141" i="1"/>
  <c r="M142" i="1"/>
  <c r="M143" i="1"/>
  <c r="M144" i="1"/>
  <c r="M145" i="1"/>
  <c r="M146" i="1"/>
  <c r="M147" i="1"/>
  <c r="M148" i="1"/>
  <c r="M149" i="1"/>
  <c r="M150" i="1"/>
  <c r="L244" i="1"/>
  <c r="N131" i="1"/>
  <c r="N132" i="1" l="1"/>
  <c r="N133" i="1"/>
  <c r="N134" i="1"/>
  <c r="N135" i="1"/>
  <c r="N136" i="1"/>
  <c r="N137" i="1"/>
  <c r="N138" i="1"/>
  <c r="N139" i="1"/>
  <c r="N140" i="1"/>
  <c r="N141" i="1"/>
  <c r="N142" i="1"/>
  <c r="N143" i="1"/>
  <c r="N144" i="1"/>
  <c r="N145" i="1"/>
  <c r="N146" i="1"/>
  <c r="N147" i="1"/>
  <c r="N148" i="1"/>
  <c r="N149" i="1"/>
  <c r="N150" i="1"/>
  <c r="L158" i="1"/>
  <c r="T144" i="1"/>
  <c r="C279" i="1" l="1"/>
  <c r="C278" i="1"/>
  <c r="C277" i="1"/>
  <c r="C276" i="1"/>
  <c r="C275" i="1"/>
  <c r="C274" i="1"/>
  <c r="K273" i="1"/>
  <c r="J273" i="1"/>
  <c r="I273" i="1"/>
  <c r="C273" i="1"/>
  <c r="K272" i="1"/>
  <c r="J272" i="1"/>
  <c r="I272" i="1"/>
  <c r="C272" i="1"/>
  <c r="K271" i="1"/>
  <c r="J271" i="1"/>
  <c r="I271" i="1"/>
  <c r="C271" i="1"/>
  <c r="K270" i="1"/>
  <c r="J270" i="1"/>
  <c r="I270" i="1"/>
  <c r="C270" i="1"/>
  <c r="K269" i="1"/>
  <c r="J269" i="1"/>
  <c r="I269" i="1"/>
  <c r="C269" i="1"/>
  <c r="K268" i="1"/>
  <c r="J268" i="1"/>
  <c r="I268" i="1"/>
  <c r="C268" i="1"/>
  <c r="K267" i="1"/>
  <c r="J267" i="1"/>
  <c r="I267" i="1"/>
  <c r="C267" i="1"/>
  <c r="K266" i="1"/>
  <c r="J266" i="1"/>
  <c r="I266" i="1"/>
  <c r="C266" i="1"/>
  <c r="K265" i="1"/>
  <c r="J265" i="1"/>
  <c r="I265" i="1"/>
  <c r="C265" i="1"/>
  <c r="K264" i="1"/>
  <c r="J264" i="1"/>
  <c r="I264" i="1"/>
  <c r="C264" i="1"/>
  <c r="K263" i="1"/>
  <c r="J263" i="1"/>
  <c r="I263" i="1"/>
  <c r="C263" i="1"/>
  <c r="J262" i="1"/>
  <c r="I262" i="1"/>
  <c r="C262" i="1"/>
  <c r="R255" i="1"/>
  <c r="Q255" i="1"/>
  <c r="R254" i="1"/>
  <c r="Q254" i="1"/>
  <c r="R253" i="1"/>
  <c r="Q253" i="1"/>
  <c r="C252" i="1"/>
  <c r="C251" i="1"/>
  <c r="C250" i="1"/>
  <c r="C249" i="1"/>
  <c r="C248" i="1"/>
  <c r="C247" i="1"/>
  <c r="C246" i="1"/>
  <c r="C245" i="1"/>
  <c r="C244" i="1"/>
  <c r="R239" i="1"/>
  <c r="J158" i="1"/>
  <c r="R148" i="1"/>
  <c r="R147" i="1"/>
  <c r="R146" i="1"/>
  <c r="R145" i="1"/>
  <c r="R144" i="1"/>
  <c r="T148" i="1"/>
  <c r="S148" i="1"/>
  <c r="T147" i="1"/>
  <c r="S147" i="1"/>
  <c r="T146" i="1"/>
  <c r="S146" i="1"/>
  <c r="T145" i="1"/>
  <c r="S145" i="1"/>
  <c r="L247" i="1" l="1"/>
  <c r="L265" i="1" s="1"/>
  <c r="L251" i="1"/>
  <c r="L269" i="1" s="1"/>
  <c r="L255" i="1"/>
  <c r="L273" i="1" s="1"/>
  <c r="S253" i="1"/>
  <c r="L248" i="1"/>
  <c r="L266" i="1" s="1"/>
  <c r="L245" i="1"/>
  <c r="L263" i="1" s="1"/>
  <c r="L249" i="1"/>
  <c r="L267" i="1" s="1"/>
  <c r="T245" i="1"/>
  <c r="S254" i="1" s="1"/>
  <c r="L252" i="1"/>
  <c r="L270" i="1" s="1"/>
  <c r="L246" i="1"/>
  <c r="L264" i="1" s="1"/>
  <c r="L250" i="1"/>
  <c r="L268" i="1" s="1"/>
  <c r="L254" i="1"/>
  <c r="L272" i="1" s="1"/>
  <c r="T246" i="1"/>
  <c r="S255" i="1" s="1"/>
  <c r="L253" i="1"/>
  <c r="L271" i="1" s="1"/>
</calcChain>
</file>

<file path=xl/comments1.xml><?xml version="1.0" encoding="utf-8"?>
<comments xmlns="http://schemas.openxmlformats.org/spreadsheetml/2006/main">
  <authors>
    <author>Bereket Nigusse</author>
  </authors>
  <commentList>
    <comment ref="B11" authorId="0">
      <text>
        <r>
          <rPr>
            <sz val="9"/>
            <color indexed="81"/>
            <rFont val="Tahoma"/>
            <family val="2"/>
          </rPr>
          <t>X: Independent Variable</t>
        </r>
      </text>
    </comment>
    <comment ref="C11" authorId="0">
      <text>
        <r>
          <rPr>
            <sz val="9"/>
            <color indexed="81"/>
            <rFont val="Tahoma"/>
            <family val="2"/>
          </rPr>
          <t>Capacity: Dependent Variable</t>
        </r>
      </text>
    </comment>
    <comment ref="D11" authorId="0">
      <text>
        <r>
          <rPr>
            <sz val="9"/>
            <color indexed="81"/>
            <rFont val="Tahoma"/>
            <family val="2"/>
          </rPr>
          <t>Power: Dependent Variable</t>
        </r>
      </text>
    </comment>
  </commentList>
</comments>
</file>

<file path=xl/sharedStrings.xml><?xml version="1.0" encoding="utf-8"?>
<sst xmlns="http://schemas.openxmlformats.org/spreadsheetml/2006/main" count="138" uniqueCount="75">
  <si>
    <t xml:space="preserve">DX Coil Type: </t>
  </si>
  <si>
    <t xml:space="preserve">Independent Variable: </t>
  </si>
  <si>
    <t xml:space="preserve">Curve Type: </t>
  </si>
  <si>
    <t xml:space="preserve">Units: </t>
  </si>
  <si>
    <t xml:space="preserve">Rated Data:  </t>
  </si>
  <si>
    <t xml:space="preserve">Performance Data:  </t>
  </si>
  <si>
    <t>R Squared</t>
  </si>
  <si>
    <t>!- Coefficient1 Constant</t>
  </si>
  <si>
    <t>!- Coefficient2 x</t>
  </si>
  <si>
    <t>!- Coefficient3 x**2</t>
  </si>
  <si>
    <t>!- Minimum Value of x</t>
  </si>
  <si>
    <t>!- Maximum Value of x</t>
  </si>
  <si>
    <t>!- Minimum Curve Output</t>
  </si>
  <si>
    <t>!- Maximum Curve Output</t>
  </si>
  <si>
    <t>!- Input Unit Type for X</t>
  </si>
  <si>
    <t>Dimensionless</t>
  </si>
  <si>
    <t>!- Output Unit Type</t>
  </si>
  <si>
    <t>SAMPLE DATA I</t>
  </si>
  <si>
    <t>Carrier Two-Speed Electric Heat Pump: SYNERGY 38YDA</t>
  </si>
  <si>
    <t>Indoor Fan Power</t>
  </si>
  <si>
    <t>W</t>
  </si>
  <si>
    <t>Capacity and Power data at various temperatures and rated flow rate.  This data is</t>
  </si>
  <si>
    <t xml:space="preserve">Capacity and Power Data at various supply air flow rates and rated temperatures. </t>
  </si>
  <si>
    <t>Manufacturer's Data</t>
  </si>
  <si>
    <t>used to generate Capacity and EIR curves as a function of temperatures.</t>
  </si>
  <si>
    <t xml:space="preserve"> This data is used to generate Capacity and EIR curves as a flow fraction.</t>
  </si>
  <si>
    <t>Corrected</t>
  </si>
  <si>
    <t>CFM</t>
  </si>
  <si>
    <t>Format Required By the Tool</t>
  </si>
  <si>
    <t>INPUT DATA FOR CAP AND EIR AS A FUNCTION OF FLOW</t>
  </si>
  <si>
    <t>INPUT DATA FOR CAP AND EIR AS A FUNCTION OF TEMPERATURE</t>
  </si>
  <si>
    <t>SAMPLE DATA II</t>
  </si>
  <si>
    <t>PACKAGED HEAT PUMP</t>
  </si>
  <si>
    <t>LENNOX KH Landmark RoofTop Unit: Model KHA036S4</t>
  </si>
  <si>
    <t xml:space="preserve">Outdoor Coil Fan Power: </t>
  </si>
  <si>
    <t>Capacity and Power data at various temperatures and rated flow rate.  This data</t>
  </si>
  <si>
    <t xml:space="preserve"> is used to generate Capacity and EIR curves as a function of temperatures.</t>
  </si>
  <si>
    <t>Compressor Plus Outdoor Coil Fan Power</t>
  </si>
  <si>
    <t>Rated Compressor Plus Outdoor Coil Fan Power</t>
  </si>
  <si>
    <t xml:space="preserve">Curve Object Name: </t>
  </si>
  <si>
    <t>!- Name</t>
  </si>
  <si>
    <t xml:space="preserve">Output File Name: </t>
  </si>
  <si>
    <t>Cooling</t>
  </si>
  <si>
    <t>Gross Total Cooling Capacity</t>
  </si>
  <si>
    <t>Rated Gross Total Cooling Capacity</t>
  </si>
  <si>
    <t xml:space="preserve">Output File Path: </t>
  </si>
  <si>
    <t>HP</t>
  </si>
  <si>
    <t>TDB, °F</t>
  </si>
  <si>
    <r>
      <t xml:space="preserve">TWB, </t>
    </r>
    <r>
      <rPr>
        <sz val="11"/>
        <color theme="1"/>
        <rFont val="Calibri"/>
        <family val="2"/>
      </rPr>
      <t>°F</t>
    </r>
  </si>
  <si>
    <t>CAP, kBTuh</t>
  </si>
  <si>
    <t>Total POWER, kW</t>
  </si>
  <si>
    <t>GROSS CAP, kBtuh</t>
  </si>
  <si>
    <t>POWER, kW</t>
  </si>
  <si>
    <t>TWB, °F</t>
  </si>
  <si>
    <t>CAP, kBtuh</t>
  </si>
  <si>
    <t>Gross CAP, kBtuh</t>
  </si>
  <si>
    <t>Power (Compressor + Outdoor Coil Fan), kW</t>
  </si>
  <si>
    <t>Power, kW</t>
  </si>
  <si>
    <t>Comp. Power, kW</t>
  </si>
  <si>
    <t>Flow, CFM</t>
  </si>
  <si>
    <t>Flow</t>
  </si>
  <si>
    <t>Cubic</t>
  </si>
  <si>
    <t>Supply Air Volume Flow Rate</t>
  </si>
  <si>
    <t>Rated Supply Air Volume Flow Rate</t>
  </si>
  <si>
    <t>EPlusCurveObjects</t>
  </si>
  <si>
    <t>C:\EnergyPlus-Dev\EnergyPlusV8-2-0\PreProcess\HVACCurveFitTool\</t>
  </si>
  <si>
    <t>! 0.9998</t>
  </si>
  <si>
    <t>Curve:Cubic</t>
  </si>
  <si>
    <t>HPCoolingCAPFFF</t>
  </si>
  <si>
    <t>!- Coefficient4 x**3</t>
  </si>
  <si>
    <t>! 0.999</t>
  </si>
  <si>
    <t>HPCoolingEIRFFF</t>
  </si>
  <si>
    <t>IP</t>
  </si>
  <si>
    <t>kBtuh</t>
  </si>
  <si>
    <t>kW</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</si>
</sst>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0.0000"/>
    <numFmt numFmtId="165" formatCode="0.00000000"/>
    <numFmt numFmtId="166" formatCode="0.0000000000"/>
    <numFmt numFmtId="167" formatCode="0.000"/>
    <numFmt numFmtId="168" formatCode="0.0"/>
    <numFmt numFmtId="169" formatCode="0.0000000000000000"/>
  </numFmts>
  <fonts count="11" x14ac:knownFonts="1">
    <font>
      <sz val="11"/>
      <color theme="1"/>
      <name val="Calibri"/>
      <family val="2"/>
      <scheme val="minor"/>
    </font>
    <font>
      <b/>
      <sz val="11"/>
      <color theme="1"/>
      <name val="Calibri"/>
      <family val="2"/>
      <scheme val="minor"/>
    </font>
    <font>
      <b/>
      <sz val="12"/>
      <color rgb="FF0000CC"/>
      <name val="Calibri"/>
      <family val="2"/>
      <scheme val="minor"/>
    </font>
    <font>
      <sz val="11"/>
      <name val="Calibri"/>
      <family val="2"/>
      <scheme val="minor"/>
    </font>
    <font>
      <sz val="14"/>
      <color rgb="FF0000CC"/>
      <name val="Calibri"/>
      <family val="2"/>
      <scheme val="minor"/>
    </font>
    <font>
      <sz val="11"/>
      <color rgb="FF0000CC"/>
      <name val="Calibri"/>
      <family val="2"/>
      <scheme val="minor"/>
    </font>
    <font>
      <b/>
      <sz val="11"/>
      <color rgb="FF0000CC"/>
      <name val="Calibri"/>
      <family val="2"/>
      <scheme val="minor"/>
    </font>
    <font>
      <sz val="9"/>
      <color indexed="81"/>
      <name val="Tahoma"/>
      <family val="2"/>
    </font>
    <font>
      <b/>
      <sz val="16"/>
      <color rgb="FF0000FF"/>
      <name val="Calibri"/>
      <family val="2"/>
    </font>
    <font>
      <b/>
      <sz val="14"/>
      <color rgb="FF0000FF"/>
      <name val="Calibri"/>
      <family val="2"/>
    </font>
    <font>
      <sz val="11"/>
      <color theme="1"/>
      <name val="Calibri"/>
      <family val="2"/>
    </font>
  </fonts>
  <fills count="3">
    <fill>
      <patternFill patternType="none"/>
    </fill>
    <fill>
      <patternFill patternType="gray125"/>
    </fill>
    <fill>
      <patternFill patternType="solid">
        <fgColor theme="0" tint="-0.14999847407452621"/>
        <bgColor indexed="64"/>
      </patternFill>
    </fill>
  </fills>
  <borders count="13">
    <border>
      <left/>
      <right/>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top/>
      <bottom style="double">
        <color indexed="64"/>
      </bottom>
      <diagonal/>
    </border>
    <border>
      <left/>
      <right/>
      <top style="thin">
        <color indexed="64"/>
      </top>
      <bottom style="double">
        <color indexed="64"/>
      </bottom>
      <diagonal/>
    </border>
  </borders>
  <cellStyleXfs count="1">
    <xf numFmtId="0" fontId="0" fillId="0" borderId="0"/>
  </cellStyleXfs>
  <cellXfs count="75">
    <xf numFmtId="0" fontId="0" fillId="0" borderId="0" xfId="0"/>
    <xf numFmtId="0" fontId="1" fillId="2" borderId="1" xfId="0" applyFont="1" applyFill="1" applyBorder="1" applyAlignment="1">
      <alignment horizontal="right" vertical="center"/>
    </xf>
    <xf numFmtId="0" fontId="2" fillId="2" borderId="2" xfId="0" applyFont="1" applyFill="1" applyBorder="1" applyAlignment="1">
      <alignment horizontal="center"/>
    </xf>
    <xf numFmtId="0" fontId="0" fillId="0" borderId="0" xfId="0" applyFill="1"/>
    <xf numFmtId="0" fontId="1" fillId="2" borderId="3" xfId="0" applyFont="1" applyFill="1" applyBorder="1" applyAlignment="1">
      <alignment horizontal="right" vertical="center"/>
    </xf>
    <xf numFmtId="0" fontId="2" fillId="2" borderId="4" xfId="0" applyFont="1" applyFill="1" applyBorder="1" applyAlignment="1">
      <alignment horizontal="center" vertical="center"/>
    </xf>
    <xf numFmtId="0" fontId="1" fillId="2" borderId="5" xfId="0" applyFont="1" applyFill="1" applyBorder="1" applyAlignment="1">
      <alignment horizontal="right" vertical="center"/>
    </xf>
    <xf numFmtId="0" fontId="2" fillId="2" borderId="6" xfId="0" applyFont="1" applyFill="1" applyBorder="1" applyAlignment="1">
      <alignment horizontal="center"/>
    </xf>
    <xf numFmtId="0" fontId="0" fillId="0" borderId="0" xfId="0" applyFill="1" applyAlignment="1">
      <alignment horizontal="center"/>
    </xf>
    <xf numFmtId="0" fontId="0" fillId="0" borderId="0" xfId="0" applyFill="1" applyAlignment="1">
      <alignment horizontal="right"/>
    </xf>
    <xf numFmtId="0" fontId="0" fillId="0" borderId="0" xfId="0" applyFill="1" applyAlignment="1">
      <alignment horizontal="center" vertical="center"/>
    </xf>
    <xf numFmtId="0" fontId="1" fillId="2" borderId="0" xfId="0" applyFont="1" applyFill="1" applyAlignment="1">
      <alignment horizontal="right" vertical="center"/>
    </xf>
    <xf numFmtId="0" fontId="1" fillId="2" borderId="7" xfId="0" applyFont="1" applyFill="1" applyBorder="1" applyAlignment="1">
      <alignment horizontal="center" vertical="center" wrapText="1" shrinkToFit="1"/>
    </xf>
    <xf numFmtId="0" fontId="1" fillId="2" borderId="8" xfId="0" applyFont="1" applyFill="1" applyBorder="1" applyAlignment="1">
      <alignment horizontal="center" vertical="center" wrapText="1" shrinkToFit="1"/>
    </xf>
    <xf numFmtId="0" fontId="1" fillId="2" borderId="4" xfId="0" applyFont="1" applyFill="1" applyBorder="1" applyAlignment="1">
      <alignment horizontal="center" vertical="center" wrapText="1" shrinkToFit="1"/>
    </xf>
    <xf numFmtId="0" fontId="1" fillId="0" borderId="7" xfId="0" applyFont="1" applyFill="1" applyBorder="1" applyAlignment="1">
      <alignment horizontal="center" vertical="center"/>
    </xf>
    <xf numFmtId="2" fontId="1" fillId="0" borderId="8" xfId="0" applyNumberFormat="1" applyFont="1" applyFill="1" applyBorder="1" applyAlignment="1">
      <alignment horizontal="center" vertical="center"/>
    </xf>
    <xf numFmtId="0" fontId="1" fillId="0" borderId="4" xfId="0" applyFont="1" applyFill="1" applyBorder="1" applyAlignment="1">
      <alignment horizontal="center" vertical="center"/>
    </xf>
    <xf numFmtId="0" fontId="1" fillId="2" borderId="9" xfId="0" applyFont="1" applyFill="1" applyBorder="1" applyAlignment="1">
      <alignment horizontal="center" vertical="center" wrapText="1" shrinkToFit="1"/>
    </xf>
    <xf numFmtId="0" fontId="1" fillId="2" borderId="10" xfId="0" applyFont="1" applyFill="1" applyBorder="1" applyAlignment="1">
      <alignment horizontal="center" vertical="center" wrapText="1" shrinkToFit="1"/>
    </xf>
    <xf numFmtId="0" fontId="1" fillId="2" borderId="6" xfId="0" applyFont="1" applyFill="1" applyBorder="1" applyAlignment="1">
      <alignment horizontal="center" vertical="center" wrapText="1" shrinkToFit="1"/>
    </xf>
    <xf numFmtId="1" fontId="0" fillId="0" borderId="0" xfId="0" applyNumberFormat="1" applyFill="1" applyAlignment="1">
      <alignment horizontal="center" vertical="center"/>
    </xf>
    <xf numFmtId="2" fontId="0" fillId="0" borderId="0" xfId="0" applyNumberFormat="1" applyFill="1" applyAlignment="1">
      <alignment horizontal="center" vertical="center"/>
    </xf>
    <xf numFmtId="1" fontId="3" fillId="0" borderId="0" xfId="0" applyNumberFormat="1" applyFont="1" applyFill="1" applyAlignment="1">
      <alignment horizontal="center" vertical="center"/>
    </xf>
    <xf numFmtId="2" fontId="3" fillId="0" borderId="0" xfId="0" applyNumberFormat="1" applyFont="1" applyFill="1" applyAlignment="1">
      <alignment horizontal="center" vertical="center"/>
    </xf>
    <xf numFmtId="0" fontId="0" fillId="0" borderId="0" xfId="0" applyFill="1" applyAlignment="1">
      <alignment wrapText="1"/>
    </xf>
    <xf numFmtId="164" fontId="0" fillId="0" borderId="0" xfId="0" applyNumberFormat="1" applyFill="1"/>
    <xf numFmtId="0" fontId="3" fillId="0" borderId="0" xfId="0" applyFont="1" applyFill="1" applyAlignment="1">
      <alignment horizontal="center" vertical="center"/>
    </xf>
    <xf numFmtId="165" fontId="0" fillId="0" borderId="0" xfId="0" applyNumberFormat="1" applyFill="1" applyAlignment="1">
      <alignment horizontal="center" vertical="center"/>
    </xf>
    <xf numFmtId="166" fontId="0" fillId="0" borderId="0" xfId="0" applyNumberFormat="1" applyFill="1"/>
    <xf numFmtId="0" fontId="3" fillId="0" borderId="0" xfId="0" applyFont="1" applyFill="1" applyAlignment="1">
      <alignment horizontal="right" vertical="center"/>
    </xf>
    <xf numFmtId="167" fontId="0" fillId="0" borderId="0" xfId="0" applyNumberFormat="1" applyFill="1"/>
    <xf numFmtId="2" fontId="0" fillId="0" borderId="0" xfId="0" applyNumberFormat="1" applyFill="1"/>
    <xf numFmtId="2" fontId="0" fillId="0" borderId="0" xfId="0" applyNumberFormat="1" applyFill="1" applyAlignment="1">
      <alignment horizontal="right"/>
    </xf>
    <xf numFmtId="0" fontId="0" fillId="0" borderId="0" xfId="0" applyFill="1" applyAlignment="1">
      <alignment horizontal="right" wrapText="1"/>
    </xf>
    <xf numFmtId="166" fontId="0" fillId="0" borderId="0" xfId="0" applyNumberFormat="1" applyFill="1" applyAlignment="1">
      <alignment horizontal="center"/>
    </xf>
    <xf numFmtId="0" fontId="4" fillId="2" borderId="0" xfId="0" applyFont="1" applyFill="1"/>
    <xf numFmtId="0" fontId="5" fillId="2" borderId="0" xfId="0" applyFont="1" applyFill="1"/>
    <xf numFmtId="0" fontId="5" fillId="0" borderId="0" xfId="0" applyFont="1" applyFill="1"/>
    <xf numFmtId="0" fontId="0" fillId="2" borderId="0" xfId="0" applyFill="1"/>
    <xf numFmtId="168" fontId="0" fillId="0" borderId="0" xfId="0" applyNumberFormat="1"/>
    <xf numFmtId="0" fontId="0" fillId="0" borderId="11" xfId="0" applyBorder="1"/>
    <xf numFmtId="0" fontId="0" fillId="0" borderId="0" xfId="0" applyAlignment="1">
      <alignment horizontal="center"/>
    </xf>
    <xf numFmtId="168" fontId="0" fillId="0" borderId="0" xfId="0" applyNumberFormat="1" applyAlignment="1">
      <alignment horizontal="center"/>
    </xf>
    <xf numFmtId="2" fontId="0" fillId="0" borderId="0" xfId="0" applyNumberFormat="1" applyAlignment="1">
      <alignment horizontal="center"/>
    </xf>
    <xf numFmtId="2" fontId="5" fillId="0" borderId="0" xfId="0" applyNumberFormat="1" applyFont="1" applyAlignment="1">
      <alignment horizontal="center"/>
    </xf>
    <xf numFmtId="2" fontId="6" fillId="0" borderId="0" xfId="0" applyNumberFormat="1" applyFont="1"/>
    <xf numFmtId="2" fontId="0" fillId="0" borderId="0" xfId="0" applyNumberFormat="1"/>
    <xf numFmtId="0" fontId="0" fillId="0" borderId="11" xfId="0" applyBorder="1" applyAlignment="1">
      <alignment horizontal="center"/>
    </xf>
    <xf numFmtId="0" fontId="5" fillId="0" borderId="0" xfId="0" applyFont="1" applyAlignment="1">
      <alignment horizontal="center"/>
    </xf>
    <xf numFmtId="0" fontId="1" fillId="0" borderId="0" xfId="0" applyFont="1" applyBorder="1" applyAlignment="1">
      <alignment vertical="center" wrapText="1" shrinkToFit="1"/>
    </xf>
    <xf numFmtId="0" fontId="1" fillId="0" borderId="0" xfId="0" applyFont="1" applyBorder="1" applyAlignment="1">
      <alignment horizontal="center" vertical="center" wrapText="1" shrinkToFit="1"/>
    </xf>
    <xf numFmtId="0" fontId="0" fillId="0" borderId="12" xfId="0" applyBorder="1"/>
    <xf numFmtId="2" fontId="0" fillId="0" borderId="0" xfId="0" applyNumberFormat="1" applyBorder="1"/>
    <xf numFmtId="0" fontId="0" fillId="0" borderId="12" xfId="0" applyBorder="1" applyAlignment="1">
      <alignment horizontal="center"/>
    </xf>
    <xf numFmtId="168" fontId="3" fillId="0" borderId="0" xfId="0" applyNumberFormat="1" applyFont="1" applyFill="1" applyAlignment="1">
      <alignment horizontal="center" vertical="center"/>
    </xf>
    <xf numFmtId="167" fontId="3" fillId="0" borderId="0" xfId="0" applyNumberFormat="1" applyFont="1" applyFill="1" applyAlignment="1">
      <alignment horizontal="right" vertical="center"/>
    </xf>
    <xf numFmtId="168" fontId="0" fillId="0" borderId="0" xfId="0" applyNumberFormat="1" applyFill="1" applyAlignment="1">
      <alignment horizontal="center" vertical="center"/>
    </xf>
    <xf numFmtId="0" fontId="0" fillId="0" borderId="0" xfId="0" applyAlignment="1">
      <alignment horizontal="right"/>
    </xf>
    <xf numFmtId="0" fontId="0" fillId="0" borderId="0" xfId="0" applyAlignment="1">
      <alignment horizontal="left"/>
    </xf>
    <xf numFmtId="0" fontId="1" fillId="0" borderId="0" xfId="0" applyFont="1" applyFill="1" applyBorder="1" applyAlignment="1">
      <alignment horizontal="right" vertical="center"/>
    </xf>
    <xf numFmtId="0" fontId="2" fillId="0" borderId="0" xfId="0" applyFont="1" applyFill="1" applyBorder="1" applyAlignment="1">
      <alignment horizontal="center"/>
    </xf>
    <xf numFmtId="166" fontId="0" fillId="0" borderId="0" xfId="0" applyNumberFormat="1" applyAlignment="1">
      <alignment horizontal="right"/>
    </xf>
    <xf numFmtId="164" fontId="0" fillId="0" borderId="0" xfId="0" applyNumberFormat="1" applyAlignment="1">
      <alignment horizontal="right"/>
    </xf>
    <xf numFmtId="0" fontId="1" fillId="2" borderId="3" xfId="0" applyFont="1" applyFill="1" applyBorder="1" applyAlignment="1">
      <alignment horizontal="center" vertical="center"/>
    </xf>
    <xf numFmtId="168" fontId="5" fillId="0" borderId="0" xfId="0" applyNumberFormat="1" applyFont="1" applyAlignment="1">
      <alignment horizontal="center"/>
    </xf>
    <xf numFmtId="2" fontId="0" fillId="0" borderId="0" xfId="0" applyNumberFormat="1" applyAlignment="1">
      <alignment horizontal="right"/>
    </xf>
    <xf numFmtId="2" fontId="5" fillId="0" borderId="0" xfId="0" applyNumberFormat="1" applyFont="1" applyAlignment="1">
      <alignment horizontal="center" vertical="center"/>
    </xf>
    <xf numFmtId="2" fontId="6" fillId="0" borderId="0" xfId="0" applyNumberFormat="1" applyFont="1" applyAlignment="1">
      <alignment horizontal="center" vertical="center"/>
    </xf>
    <xf numFmtId="0" fontId="5" fillId="0" borderId="0" xfId="0" applyFont="1" applyAlignment="1">
      <alignment horizontal="center" vertical="center"/>
    </xf>
    <xf numFmtId="169" fontId="0" fillId="0" borderId="0" xfId="0" applyNumberFormat="1" applyAlignment="1">
      <alignment horizontal="center"/>
    </xf>
    <xf numFmtId="0" fontId="1" fillId="0" borderId="0" xfId="0" applyFont="1" applyBorder="1" applyAlignment="1">
      <alignment horizontal="center" vertical="center" wrapText="1" shrinkToFit="1"/>
    </xf>
    <xf numFmtId="0" fontId="1" fillId="0" borderId="10" xfId="0" applyFont="1" applyBorder="1" applyAlignment="1">
      <alignment horizontal="center" vertical="center" wrapText="1" shrinkToFit="1"/>
    </xf>
    <xf numFmtId="0" fontId="5" fillId="2" borderId="0" xfId="0" applyFont="1" applyFill="1" applyAlignment="1">
      <alignment horizontal="center"/>
    </xf>
    <xf numFmtId="0" fontId="0" fillId="0" borderId="0" xfId="0" applyAlignment="1">
      <alignment horizontal="center"/>
    </xf>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13</xdr:col>
      <xdr:colOff>400050</xdr:colOff>
      <xdr:row>96</xdr:row>
      <xdr:rowOff>95250</xdr:rowOff>
    </xdr:to>
    <xdr:sp macro="" textlink="">
      <xdr:nvSpPr>
        <xdr:cNvPr id="4" name="TextBox 3"/>
        <xdr:cNvSpPr txBox="1"/>
      </xdr:nvSpPr>
      <xdr:spPr>
        <a:xfrm>
          <a:off x="0" y="0"/>
          <a:ext cx="8839200" cy="18383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INTRODUCTION:</a:t>
          </a:r>
        </a:p>
        <a:p>
          <a:r>
            <a:rPr lang="en-US" sz="1100">
              <a:solidFill>
                <a:schemeClr val="dk1"/>
              </a:solidFill>
              <a:effectLst/>
              <a:latin typeface="+mn-lt"/>
              <a:ea typeface="+mn-ea"/>
              <a:cs typeface="+mn-cs"/>
            </a:rPr>
            <a:t>This auxiliary tool generates HVAC performance curves in EnergyPlus curve object format.  For each set of performance data entered, Capacity and EIR performance curves are generated, and these curves are generated either as a function of temperature(s) or flow fraction.  The Capacity and EIR of Cooling DX Coils as a function of temperatures require only Biquadratic curve whereas Capacity and EIR of Heating DX Coils may use Biquadratic, Cubic and Quadratic curves. The selection of either of these curves is dependent on availability of performance data. The Capacity and EIR as a function of flow fraction allows either Cubic or Quadratic curve type. The curve types allowed are:</a:t>
          </a:r>
        </a:p>
        <a:p>
          <a:endParaRPr lang="en-US" sz="1100"/>
        </a:p>
        <a:p>
          <a:pPr eaLnBrk="1" fontAlgn="auto" latinLnBrk="0" hangingPunct="1"/>
          <a:r>
            <a:rPr lang="en-US" sz="1100">
              <a:solidFill>
                <a:schemeClr val="dk1"/>
              </a:solidFill>
              <a:effectLst/>
              <a:latin typeface="+mn-lt"/>
              <a:ea typeface="+mn-ea"/>
              <a:cs typeface="+mn-cs"/>
            </a:rPr>
            <a:t>    Cooling Capacity as a Function of Temperatures: Biquadratic Curve</a:t>
          </a:r>
          <a:endParaRPr lang="en-US">
            <a:effectLst/>
          </a:endParaRPr>
        </a:p>
        <a:p>
          <a:r>
            <a:rPr lang="en-US" sz="1100">
              <a:solidFill>
                <a:schemeClr val="dk1"/>
              </a:solidFill>
              <a:effectLst/>
              <a:latin typeface="+mn-lt"/>
              <a:ea typeface="+mn-ea"/>
              <a:cs typeface="+mn-cs"/>
            </a:rPr>
            <a:t>       cCapacity = a0 + a1*X + a2*X^2 + a3*Y + a4*Y^2 + a5*X*Y</a:t>
          </a:r>
          <a:endParaRPr lang="en-US">
            <a:effectLst/>
          </a:endParaRPr>
        </a:p>
        <a:p>
          <a:r>
            <a:rPr lang="en-US" sz="1100">
              <a:solidFill>
                <a:schemeClr val="dk1"/>
              </a:solidFill>
              <a:effectLst/>
              <a:latin typeface="+mn-lt"/>
              <a:ea typeface="+mn-ea"/>
              <a:cs typeface="+mn-cs"/>
            </a:rPr>
            <a:t>    Heating Capacity as a Function of Temperatures: Biquadratic curve</a:t>
          </a:r>
          <a:endParaRPr lang="en-US">
            <a:effectLst/>
          </a:endParaRPr>
        </a:p>
        <a:p>
          <a:r>
            <a:rPr lang="en-US" sz="1100">
              <a:solidFill>
                <a:schemeClr val="dk1"/>
              </a:solidFill>
              <a:effectLst/>
              <a:latin typeface="+mn-lt"/>
              <a:ea typeface="+mn-ea"/>
              <a:cs typeface="+mn-cs"/>
            </a:rPr>
            <a:t>       hCapacity = a0 + a1*X + a2*X^2 + a3*Y + a4*Y^2 + a5*X*Y</a:t>
          </a:r>
          <a:endParaRPr lang="en-US">
            <a:effectLst/>
          </a:endParaRPr>
        </a:p>
        <a:p>
          <a:pPr eaLnBrk="1" fontAlgn="auto" latinLnBrk="0" hangingPunct="1"/>
          <a:r>
            <a:rPr lang="en-US" sz="1100">
              <a:solidFill>
                <a:schemeClr val="dk1"/>
              </a:solidFill>
              <a:effectLst/>
              <a:latin typeface="+mn-lt"/>
              <a:ea typeface="+mn-ea"/>
              <a:cs typeface="+mn-cs"/>
            </a:rPr>
            <a:t>    Heating Capacity as a Function of Temperatures: Cubic Curve</a:t>
          </a:r>
          <a:endParaRPr lang="en-US">
            <a:effectLst/>
          </a:endParaRPr>
        </a:p>
        <a:p>
          <a:pPr eaLnBrk="1" fontAlgn="auto" latinLnBrk="0" hangingPunct="1"/>
          <a:r>
            <a:rPr lang="en-US" sz="1100">
              <a:solidFill>
                <a:schemeClr val="dk1"/>
              </a:solidFill>
              <a:effectLst/>
              <a:latin typeface="+mn-lt"/>
              <a:ea typeface="+mn-ea"/>
              <a:cs typeface="+mn-cs"/>
            </a:rPr>
            <a:t>       hCapacity = a0 + a1*X + a2*X^2 + a3*x^3</a:t>
          </a:r>
          <a:endParaRPr lang="en-US">
            <a:effectLst/>
          </a:endParaRPr>
        </a:p>
        <a:p>
          <a:pPr eaLnBrk="1" fontAlgn="auto" latinLnBrk="0" hangingPunct="1"/>
          <a:r>
            <a:rPr lang="en-US" sz="1100">
              <a:solidFill>
                <a:schemeClr val="dk1"/>
              </a:solidFill>
              <a:effectLst/>
              <a:latin typeface="+mn-lt"/>
              <a:ea typeface="+mn-ea"/>
              <a:cs typeface="+mn-cs"/>
            </a:rPr>
            <a:t>    Energy Input Ratio (EIR) as a Function of Temperatures: Biquadratic Curve</a:t>
          </a:r>
          <a:endParaRPr lang="en-US">
            <a:effectLst/>
          </a:endParaRPr>
        </a:p>
        <a:p>
          <a:r>
            <a:rPr lang="en-US" sz="1100">
              <a:solidFill>
                <a:schemeClr val="dk1"/>
              </a:solidFill>
              <a:effectLst/>
              <a:latin typeface="+mn-lt"/>
              <a:ea typeface="+mn-ea"/>
              <a:cs typeface="+mn-cs"/>
            </a:rPr>
            <a:t>       EIR = a0 + a1*X + a2*X^2 + a3*Y + a4*Y^2 + a5*X*Y </a:t>
          </a:r>
          <a:endParaRPr lang="en-US">
            <a:effectLst/>
          </a:endParaRPr>
        </a:p>
        <a:p>
          <a:pPr eaLnBrk="1" fontAlgn="auto" latinLnBrk="0" hangingPunct="1"/>
          <a:r>
            <a:rPr lang="en-US" sz="1100">
              <a:solidFill>
                <a:schemeClr val="dk1"/>
              </a:solidFill>
              <a:effectLst/>
              <a:latin typeface="+mn-lt"/>
              <a:ea typeface="+mn-ea"/>
              <a:cs typeface="+mn-cs"/>
            </a:rPr>
            <a:t>    Energy Input Ratio (EIR) as a Function of Temperatures: Cubic Curve</a:t>
          </a:r>
          <a:endParaRPr lang="en-US">
            <a:effectLst/>
          </a:endParaRPr>
        </a:p>
        <a:p>
          <a:r>
            <a:rPr lang="en-US" sz="1100">
              <a:solidFill>
                <a:schemeClr val="dk1"/>
              </a:solidFill>
              <a:effectLst/>
              <a:latin typeface="+mn-lt"/>
              <a:ea typeface="+mn-ea"/>
              <a:cs typeface="+mn-cs"/>
            </a:rPr>
            <a:t>       EIR = a0 + a1*X + a2*X^2 + a3*x^3</a:t>
          </a:r>
          <a:endParaRPr lang="en-US">
            <a:effectLst/>
          </a:endParaRPr>
        </a:p>
        <a:p>
          <a:pPr eaLnBrk="1" fontAlgn="auto" latinLnBrk="0" hangingPunct="1"/>
          <a:r>
            <a:rPr lang="en-US" sz="1100">
              <a:solidFill>
                <a:schemeClr val="dk1"/>
              </a:solidFill>
              <a:effectLst/>
              <a:latin typeface="+mn-lt"/>
              <a:ea typeface="+mn-ea"/>
              <a:cs typeface="+mn-cs"/>
            </a:rPr>
            <a:t>    Capacity as a Function of Flow Fraction: Cubic Curve</a:t>
          </a:r>
          <a:endParaRPr lang="en-US">
            <a:effectLst/>
          </a:endParaRPr>
        </a:p>
        <a:p>
          <a:r>
            <a:rPr lang="en-US" sz="1100">
              <a:solidFill>
                <a:schemeClr val="dk1"/>
              </a:solidFill>
              <a:effectLst/>
              <a:latin typeface="+mn-lt"/>
              <a:ea typeface="+mn-ea"/>
              <a:cs typeface="+mn-cs"/>
            </a:rPr>
            <a:t>       EIR = a0 + a1*X + a2*X^2 + a3*x^3</a:t>
          </a:r>
          <a:endParaRPr lang="en-US">
            <a:effectLst/>
          </a:endParaRPr>
        </a:p>
        <a:p>
          <a:pPr eaLnBrk="1" fontAlgn="auto" latinLnBrk="0" hangingPunct="1"/>
          <a:r>
            <a:rPr lang="en-US" sz="1100">
              <a:solidFill>
                <a:schemeClr val="dk1"/>
              </a:solidFill>
              <a:effectLst/>
              <a:latin typeface="+mn-lt"/>
              <a:ea typeface="+mn-ea"/>
              <a:cs typeface="+mn-cs"/>
            </a:rPr>
            <a:t>    Capacity as a Function of Flow Fraction: Quadratic Curve</a:t>
          </a:r>
          <a:endParaRPr lang="en-US">
            <a:effectLst/>
          </a:endParaRPr>
        </a:p>
        <a:p>
          <a:r>
            <a:rPr lang="en-US" sz="1100">
              <a:solidFill>
                <a:schemeClr val="dk1"/>
              </a:solidFill>
              <a:effectLst/>
              <a:latin typeface="+mn-lt"/>
              <a:ea typeface="+mn-ea"/>
              <a:cs typeface="+mn-cs"/>
            </a:rPr>
            <a:t>       EIR = a0 + a1*X + a2*X^2    </a:t>
          </a:r>
          <a:endParaRPr lang="en-US">
            <a:effectLst/>
          </a:endParaRPr>
        </a:p>
        <a:p>
          <a:pPr eaLnBrk="1" fontAlgn="auto" latinLnBrk="0" hangingPunct="1"/>
          <a:r>
            <a:rPr lang="en-US" sz="1100">
              <a:solidFill>
                <a:schemeClr val="dk1"/>
              </a:solidFill>
              <a:effectLst/>
              <a:latin typeface="+mn-lt"/>
              <a:ea typeface="+mn-ea"/>
              <a:cs typeface="+mn-cs"/>
            </a:rPr>
            <a:t>    Energy Input Ratio (EIR) as a Function of Flow Fraction: Cubic Curve</a:t>
          </a:r>
          <a:endParaRPr lang="en-US">
            <a:effectLst/>
          </a:endParaRPr>
        </a:p>
        <a:p>
          <a:r>
            <a:rPr lang="en-US" sz="1100">
              <a:solidFill>
                <a:schemeClr val="dk1"/>
              </a:solidFill>
              <a:effectLst/>
              <a:latin typeface="+mn-lt"/>
              <a:ea typeface="+mn-ea"/>
              <a:cs typeface="+mn-cs"/>
            </a:rPr>
            <a:t>       EIR = a0 + a1*X + a2*X^2 + a3*x^3</a:t>
          </a:r>
          <a:endParaRPr lang="en-US">
            <a:effectLst/>
          </a:endParaRPr>
        </a:p>
        <a:p>
          <a:pPr eaLnBrk="1" fontAlgn="auto" latinLnBrk="0" hangingPunct="1"/>
          <a:r>
            <a:rPr lang="en-US" sz="1100">
              <a:solidFill>
                <a:schemeClr val="dk1"/>
              </a:solidFill>
              <a:effectLst/>
              <a:latin typeface="+mn-lt"/>
              <a:ea typeface="+mn-ea"/>
              <a:cs typeface="+mn-cs"/>
            </a:rPr>
            <a:t>    Energy Input Ratio (EIR) as a Function of Flow Fraction: Quadratic Curve</a:t>
          </a:r>
          <a:endParaRPr lang="en-US">
            <a:effectLst/>
          </a:endParaRPr>
        </a:p>
        <a:p>
          <a:r>
            <a:rPr lang="en-US" sz="1100">
              <a:solidFill>
                <a:schemeClr val="dk1"/>
              </a:solidFill>
              <a:effectLst/>
              <a:latin typeface="+mn-lt"/>
              <a:ea typeface="+mn-ea"/>
              <a:cs typeface="+mn-cs"/>
            </a:rPr>
            <a:t>       EIR = a0 + a1*X + a2*X^2    </a:t>
          </a:r>
          <a:endParaRPr lang="en-US">
            <a:effectLst/>
          </a:endParaRPr>
        </a:p>
        <a:p>
          <a:endParaRPr lang="en-US" sz="1100"/>
        </a:p>
        <a:p>
          <a:r>
            <a:rPr lang="en-US" sz="1100">
              <a:solidFill>
                <a:schemeClr val="dk1"/>
              </a:solidFill>
              <a:effectLst/>
              <a:latin typeface="+mn-lt"/>
              <a:ea typeface="+mn-ea"/>
              <a:cs typeface="+mn-cs"/>
            </a:rPr>
            <a:t>These performance curves as a function of temperatures are generated for a given set of input data at a given speed. The curves as a function of flow fraction are generated at the rated temperature conditions.  The rated test condition is the AHRI standard rated test condition.  The AHRI standard test condition may vary by the equipment type.   For multiple speeds or multiple stage DX Coils, different curve sets can be generated by entering a different set of data for each speed or stage at a time.  This tool can generate the following four curve types: (1) Capacity as a function of temperatures, (2) Capacity as a function of flow fraction, (3) EIR as a function of temperatures, and (4) EIR as a function of flow fraction.  The tool automatically populates the labels for each data inputs variable when users select the Coil Type, Independent Variables, Curve Type, and Units as shown on INPU tab. The labels shown in the</a:t>
          </a:r>
          <a:r>
            <a:rPr lang="en-US" sz="1100" baseline="0">
              <a:solidFill>
                <a:schemeClr val="dk1"/>
              </a:solidFill>
              <a:effectLst/>
              <a:latin typeface="+mn-lt"/>
              <a:ea typeface="+mn-ea"/>
              <a:cs typeface="+mn-cs"/>
            </a:rPr>
            <a:t> INPU tab a</a:t>
          </a:r>
          <a:r>
            <a:rPr lang="en-US" sz="1100">
              <a:solidFill>
                <a:schemeClr val="dk1"/>
              </a:solidFill>
              <a:effectLst/>
              <a:latin typeface="+mn-lt"/>
              <a:ea typeface="+mn-ea"/>
              <a:cs typeface="+mn-cs"/>
            </a:rPr>
            <a:t>re selected for DX Coil to generate capacity and EIR biquadratic curves as function of temperatures. The tool can be used for the DX coil types: Coil:Cooing:DX:SingleSpeed, Coil:Heating:DX:SingleSpeed, Coil:Cooing:DX:TwoSpeed (high and low speed) , CoilPerformance:DX:Cooling (each stage), and any HVAC equipment that use Biquadratic, Cubic or Quadratic curves. To add this flexibility generic input data labels can be populated by selecting "Other" for DX Coil Type input field, located in Cell B3 in the INPU tab.</a:t>
          </a:r>
        </a:p>
        <a:p>
          <a:endParaRPr lang="en-US" sz="1100"/>
        </a:p>
        <a:p>
          <a:r>
            <a:rPr lang="en-US" sz="1100" b="1"/>
            <a:t>INPUTS:</a:t>
          </a:r>
        </a:p>
        <a:p>
          <a:r>
            <a:rPr lang="en-US" sz="1100">
              <a:solidFill>
                <a:schemeClr val="dk1"/>
              </a:solidFill>
              <a:effectLst/>
              <a:latin typeface="+mn-lt"/>
              <a:ea typeface="+mn-ea"/>
              <a:cs typeface="+mn-cs"/>
            </a:rPr>
            <a:t>First step in curve generation is to select appropriate parameters from the dropdown menu.  These inputs define the DX Coil Type, Curve Type, Independent Variable and the Units type. The choices available for each input parameters are described as follows:</a:t>
          </a:r>
        </a:p>
        <a:p>
          <a:r>
            <a:rPr lang="en-US" sz="1100"/>
            <a:t> </a:t>
          </a:r>
        </a:p>
        <a:p>
          <a:r>
            <a:rPr lang="en-US" sz="1100"/>
            <a:t>   DX Coil Type:  the capacity and EIR curves are generated either for </a:t>
          </a:r>
          <a:r>
            <a:rPr lang="en-US" sz="1100" baseline="0">
              <a:solidFill>
                <a:schemeClr val="dk1"/>
              </a:solidFill>
              <a:effectLst/>
              <a:latin typeface="+mn-lt"/>
              <a:ea typeface="+mn-ea"/>
              <a:cs typeface="+mn-cs"/>
            </a:rPr>
            <a:t>cooling, </a:t>
          </a:r>
          <a:r>
            <a:rPr lang="en-US" sz="1100"/>
            <a:t>heating</a:t>
          </a:r>
          <a:r>
            <a:rPr lang="en-US" sz="1100" baseline="0"/>
            <a:t> DX coils or Other.  Other provides a generic data entry </a:t>
          </a:r>
        </a:p>
        <a:p>
          <a:r>
            <a:rPr lang="en-US" sz="1100" baseline="0"/>
            <a:t>   labels than can used for other than DX Coils (e.g. Chillers) which may use the Curve Types listed below. </a:t>
          </a:r>
        </a:p>
        <a:p>
          <a:r>
            <a:rPr lang="en-US" sz="1100"/>
            <a:t>           (1) Cooling</a:t>
          </a:r>
        </a:p>
        <a:p>
          <a:r>
            <a:rPr lang="en-US" sz="1100"/>
            <a:t>           (2) Heating</a:t>
          </a:r>
        </a:p>
        <a:p>
          <a:r>
            <a:rPr lang="en-US" sz="1100"/>
            <a:t>           (3) Other</a:t>
          </a:r>
        </a:p>
        <a:p>
          <a:pPr marL="0" marR="0" indent="0" defTabSz="914400" eaLnBrk="1" fontAlgn="auto" latinLnBrk="0" hangingPunct="1">
            <a:lnSpc>
              <a:spcPct val="100000"/>
            </a:lnSpc>
            <a:spcBef>
              <a:spcPts val="0"/>
            </a:spcBef>
            <a:spcAft>
              <a:spcPts val="0"/>
            </a:spcAft>
            <a:buClrTx/>
            <a:buSzTx/>
            <a:buFontTx/>
            <a:buNone/>
            <a:tabLst/>
            <a:defRPr/>
          </a:pPr>
          <a:r>
            <a:rPr lang="en-US" sz="1100"/>
            <a:t>   Independent Variables:  the </a:t>
          </a:r>
          <a:r>
            <a:rPr lang="en-US" sz="1100">
              <a:solidFill>
                <a:schemeClr val="dk1"/>
              </a:solidFill>
              <a:effectLst/>
              <a:latin typeface="+mn-lt"/>
              <a:ea typeface="+mn-ea"/>
              <a:cs typeface="+mn-cs"/>
            </a:rPr>
            <a:t>curves are generated as a function</a:t>
          </a:r>
          <a:r>
            <a:rPr lang="en-US" sz="1100" baseline="0">
              <a:solidFill>
                <a:schemeClr val="dk1"/>
              </a:solidFill>
              <a:effectLst/>
              <a:latin typeface="+mn-lt"/>
              <a:ea typeface="+mn-ea"/>
              <a:cs typeface="+mn-cs"/>
            </a:rPr>
            <a:t> of temperatures or flow (flow fraction)</a:t>
          </a:r>
          <a:endParaRPr lang="en-US">
            <a:effectLst/>
          </a:endParaRPr>
        </a:p>
        <a:p>
          <a:r>
            <a:rPr lang="en-US" sz="1100"/>
            <a:t>           (1) Temperature</a:t>
          </a:r>
        </a:p>
        <a:p>
          <a:r>
            <a:rPr lang="en-US" sz="1100"/>
            <a:t>           (2) Flow</a:t>
          </a:r>
        </a:p>
        <a:p>
          <a:pPr marL="0" marR="0" indent="0" defTabSz="914400" eaLnBrk="1" fontAlgn="auto" latinLnBrk="0" hangingPunct="1">
            <a:lnSpc>
              <a:spcPct val="100000"/>
            </a:lnSpc>
            <a:spcBef>
              <a:spcPts val="0"/>
            </a:spcBef>
            <a:spcAft>
              <a:spcPts val="0"/>
            </a:spcAft>
            <a:buClrTx/>
            <a:buSzTx/>
            <a:buFontTx/>
            <a:buNone/>
            <a:tabLst/>
            <a:defRPr/>
          </a:pPr>
          <a:r>
            <a:rPr lang="en-US" sz="1100"/>
            <a:t>   Curve Types:  for a given set of data only one of these three curve types can be selected</a:t>
          </a:r>
        </a:p>
        <a:p>
          <a:pPr marL="0" marR="0" indent="0" defTabSz="914400" eaLnBrk="1" fontAlgn="auto" latinLnBrk="0" hangingPunct="1">
            <a:lnSpc>
              <a:spcPct val="100000"/>
            </a:lnSpc>
            <a:spcBef>
              <a:spcPts val="0"/>
            </a:spcBef>
            <a:spcAft>
              <a:spcPts val="0"/>
            </a:spcAft>
            <a:buClrTx/>
            <a:buSzTx/>
            <a:buFontTx/>
            <a:buNone/>
            <a:tabLst/>
            <a:defRPr/>
          </a:pPr>
          <a:r>
            <a:rPr lang="en-US" sz="1100"/>
            <a:t>           (1) Biquadratic</a:t>
          </a:r>
        </a:p>
        <a:p>
          <a:r>
            <a:rPr lang="en-US" sz="1100"/>
            <a:t>           (2) Cubic</a:t>
          </a:r>
        </a:p>
        <a:p>
          <a:r>
            <a:rPr lang="en-US" sz="1100"/>
            <a:t>           (3) Quadratic  </a:t>
          </a:r>
        </a:p>
        <a:p>
          <a:r>
            <a:rPr lang="en-US" sz="1100"/>
            <a:t>   Units: the input data can be either IP or SI </a:t>
          </a:r>
        </a:p>
        <a:p>
          <a:r>
            <a:rPr lang="en-US" sz="1100"/>
            <a:t>           (1) IP</a:t>
          </a:r>
        </a:p>
        <a:p>
          <a:r>
            <a:rPr lang="en-US" sz="1100"/>
            <a:t>           (2) SI</a:t>
          </a:r>
        </a:p>
        <a:p>
          <a:endParaRPr lang="en-US" sz="1100"/>
        </a:p>
        <a:p>
          <a:r>
            <a:rPr lang="en-US" sz="1100">
              <a:solidFill>
                <a:schemeClr val="dk1"/>
              </a:solidFill>
              <a:effectLst/>
              <a:latin typeface="+mn-lt"/>
              <a:ea typeface="+mn-ea"/>
              <a:cs typeface="+mn-cs"/>
            </a:rPr>
            <a:t>Once these input parameters are specified the VBA code reads in the values and automatically populate labels for each of the independent and dependent variables applicable. The labels guide users to enter the data for each variable in the corresponding worksheet input range.   Two sets of input data are required for curve generation: Rated, and Performance Data.   </a:t>
          </a:r>
        </a:p>
        <a:p>
          <a:r>
            <a:rPr lang="en-US" sz="1100">
              <a:solidFill>
                <a:schemeClr val="dk1"/>
              </a:solidFill>
              <a:effectLst/>
              <a:latin typeface="+mn-lt"/>
              <a:ea typeface="+mn-ea"/>
              <a:cs typeface="+mn-cs"/>
            </a:rPr>
            <a:t> </a:t>
          </a:r>
        </a:p>
        <a:p>
          <a:r>
            <a:rPr lang="en-US" sz="1100" b="1">
              <a:solidFill>
                <a:schemeClr val="dk1"/>
              </a:solidFill>
              <a:effectLst/>
              <a:latin typeface="+mn-lt"/>
              <a:ea typeface="+mn-ea"/>
              <a:cs typeface="+mn-cs"/>
            </a:rPr>
            <a:t>Rated Data:</a:t>
          </a:r>
          <a:r>
            <a:rPr lang="en-US" sz="1100">
              <a:solidFill>
                <a:schemeClr val="dk1"/>
              </a:solidFill>
              <a:effectLst/>
              <a:latin typeface="+mn-lt"/>
              <a:ea typeface="+mn-ea"/>
              <a:cs typeface="+mn-cs"/>
            </a:rPr>
            <a:t> The rated data is used to normalize the performance data set. The rated test conditions depend on the equipment type.  For DX cooling coil the rated test temperatures are 67°F (19.4°C) indoor coil entering wet bulb, 80°F (26.7°C) indoor coil entering dry bulb and 95°F (35.0°C) outdoor coil entering dry bulb air temperatures per ANSI/AHRI Std. 210/240 (AHRI 2008).  If the rated test temperatures are different from the values populated by the tool, then the user may enter the applicable values manually.  The capacity should be gross and the power should be condenser fan power plus compressor power at the rated condition. The rated data can be one of the performance data points depending on the speed or stage. The rated data set is entered in the Cells range “B11:E11” of the INPUT tab.</a:t>
          </a:r>
        </a:p>
        <a:p>
          <a:r>
            <a:rPr lang="en-US" sz="1100">
              <a:solidFill>
                <a:schemeClr val="dk1"/>
              </a:solidFill>
              <a:effectLst/>
              <a:latin typeface="+mn-lt"/>
              <a:ea typeface="+mn-ea"/>
              <a:cs typeface="+mn-cs"/>
            </a:rPr>
            <a:t> </a:t>
          </a:r>
        </a:p>
        <a:p>
          <a:r>
            <a:rPr lang="en-US" sz="1100" b="1">
              <a:solidFill>
                <a:schemeClr val="dk1"/>
              </a:solidFill>
              <a:effectLst/>
              <a:latin typeface="+mn-lt"/>
              <a:ea typeface="+mn-ea"/>
              <a:cs typeface="+mn-cs"/>
            </a:rPr>
            <a:t>Performance Data:</a:t>
          </a:r>
          <a:r>
            <a:rPr lang="en-US" sz="1100">
              <a:solidFill>
                <a:schemeClr val="dk1"/>
              </a:solidFill>
              <a:effectLst/>
              <a:latin typeface="+mn-lt"/>
              <a:ea typeface="+mn-ea"/>
              <a:cs typeface="+mn-cs"/>
            </a:rPr>
            <a:t>  The performance data set entered depends on the type of independent variables selected.  To generate performance curves (e.g. DX Coils) as a function of temperatures require the capacity and power data at various combinations of indoor and outdoor coil entering air temperatures at a rated supply air flow rate. And performance curves (e.g. DX Coil) as function of flow fraction require  capacity and power data at various supply air flow rates and rated indoor and outdoor coil entering air (or water) temperatures. The performance data set may include the rated data as one of the data points. The performance data set is entered starting from row 15 and down for each of the variables as shown in the INPUT tab.</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The total cooling and heating capacities must be the gross values, i.e., not corrected for the supply fan heating effect.  Also the input power has to exclude the supply air fan power, but includes other miscellaneous power inputs (e.g. control panel power).   If manufacturers provide the total power, then the supply fan power must be deducted from the former.  If the capacity and power data are normalized values, then enter 1.0 for rated gross capacity and power in the </a:t>
          </a:r>
          <a:r>
            <a:rPr lang="en-US" sz="1100" b="1" i="1">
              <a:solidFill>
                <a:schemeClr val="dk1"/>
              </a:solidFill>
              <a:effectLst/>
              <a:latin typeface="+mn-lt"/>
              <a:ea typeface="+mn-ea"/>
              <a:cs typeface="+mn-cs"/>
            </a:rPr>
            <a:t>Rated Data</a:t>
          </a:r>
          <a:r>
            <a:rPr lang="en-US" sz="1100">
              <a:solidFill>
                <a:schemeClr val="dk1"/>
              </a:solidFill>
              <a:effectLst/>
              <a:latin typeface="+mn-lt"/>
              <a:ea typeface="+mn-ea"/>
              <a:cs typeface="+mn-cs"/>
            </a:rPr>
            <a:t> input Cells range (B11:E11 in the INPUT tab). Two samples of performance and rated data set are included in the “</a:t>
          </a:r>
          <a:r>
            <a:rPr lang="en-US" sz="1100" b="1">
              <a:solidFill>
                <a:schemeClr val="dk1"/>
              </a:solidFill>
              <a:effectLst/>
              <a:latin typeface="+mn-lt"/>
              <a:ea typeface="+mn-ea"/>
              <a:cs typeface="+mn-cs"/>
            </a:rPr>
            <a:t>INSTRUCTION</a:t>
          </a:r>
          <a:r>
            <a:rPr lang="en-US" sz="1100">
              <a:solidFill>
                <a:schemeClr val="dk1"/>
              </a:solidFill>
              <a:effectLst/>
              <a:latin typeface="+mn-lt"/>
              <a:ea typeface="+mn-ea"/>
              <a:cs typeface="+mn-cs"/>
            </a:rPr>
            <a:t>” tab. </a:t>
          </a:r>
        </a:p>
        <a:p>
          <a:endParaRPr lang="en-US" sz="1100"/>
        </a:p>
        <a:p>
          <a:r>
            <a:rPr lang="en-US" sz="1100" b="1"/>
            <a:t>OUTPUTS:</a:t>
          </a:r>
        </a:p>
        <a:p>
          <a:r>
            <a:rPr lang="en-US" sz="1100">
              <a:solidFill>
                <a:schemeClr val="dk1"/>
              </a:solidFill>
              <a:effectLst/>
              <a:latin typeface="+mn-lt"/>
              <a:ea typeface="+mn-ea"/>
              <a:cs typeface="+mn-cs"/>
            </a:rPr>
            <a:t>The generated curves are post-processed to make sure that the curve value is 1.0 at the rated condition.  The post processing is applied only if the curve value at the rated condition deviates by a value less than or equal to 0.025 and the performance data set contains the rated</a:t>
          </a:r>
          <a:r>
            <a:rPr lang="en-US" sz="1100" baseline="0">
              <a:solidFill>
                <a:schemeClr val="dk1"/>
              </a:solidFill>
              <a:effectLst/>
              <a:latin typeface="+mn-lt"/>
              <a:ea typeface="+mn-ea"/>
              <a:cs typeface="+mn-cs"/>
            </a:rPr>
            <a:t> data set as one the data points</a:t>
          </a:r>
          <a:r>
            <a:rPr lang="en-US" sz="1100">
              <a:solidFill>
                <a:schemeClr val="dk1"/>
              </a:solidFill>
              <a:effectLst/>
              <a:latin typeface="+mn-lt"/>
              <a:ea typeface="+mn-ea"/>
              <a:cs typeface="+mn-cs"/>
            </a:rPr>
            <a:t>. The coefficients of these curves are displayed on the "OUTPUT" tab. Besides the curve coefficients, the goodness of curve fit indicator statistical parameters </a:t>
          </a:r>
          <a:r>
            <a:rPr lang="en-US" sz="1100" i="1">
              <a:solidFill>
                <a:schemeClr val="dk1"/>
              </a:solidFill>
              <a:effectLst/>
              <a:latin typeface="+mn-lt"/>
              <a:ea typeface="+mn-ea"/>
              <a:cs typeface="+mn-cs"/>
            </a:rPr>
            <a:t>R</a:t>
          </a:r>
          <a:r>
            <a:rPr lang="en-US" sz="1100" i="1" baseline="30000">
              <a:solidFill>
                <a:schemeClr val="dk1"/>
              </a:solidFill>
              <a:effectLst/>
              <a:latin typeface="+mn-lt"/>
              <a:ea typeface="+mn-ea"/>
              <a:cs typeface="+mn-cs"/>
            </a:rPr>
            <a:t>2</a:t>
          </a:r>
          <a:r>
            <a:rPr lang="en-US" sz="1100">
              <a:solidFill>
                <a:schemeClr val="dk1"/>
              </a:solidFill>
              <a:effectLst/>
              <a:latin typeface="+mn-lt"/>
              <a:ea typeface="+mn-ea"/>
              <a:cs typeface="+mn-cs"/>
            </a:rPr>
            <a:t> is also reported.  The </a:t>
          </a:r>
          <a:r>
            <a:rPr lang="en-US" sz="1100" i="1">
              <a:solidFill>
                <a:schemeClr val="dk1"/>
              </a:solidFill>
              <a:effectLst/>
              <a:latin typeface="+mn-lt"/>
              <a:ea typeface="+mn-ea"/>
              <a:cs typeface="+mn-cs"/>
            </a:rPr>
            <a:t>R</a:t>
          </a:r>
          <a:r>
            <a:rPr lang="en-US" sz="1100" i="1" baseline="30000">
              <a:solidFill>
                <a:schemeClr val="dk1"/>
              </a:solidFill>
              <a:effectLst/>
              <a:latin typeface="+mn-lt"/>
              <a:ea typeface="+mn-ea"/>
              <a:cs typeface="+mn-cs"/>
            </a:rPr>
            <a:t>2</a:t>
          </a:r>
          <a:r>
            <a:rPr lang="en-US" sz="1100">
              <a:solidFill>
                <a:schemeClr val="dk1"/>
              </a:solidFill>
              <a:effectLst/>
              <a:latin typeface="+mn-lt"/>
              <a:ea typeface="+mn-ea"/>
              <a:cs typeface="+mn-cs"/>
            </a:rPr>
            <a:t> is the ratio of the sum of the squared deviations of the curve fit values from the mean to the sum of the squared deviations of the original data from the mean.  R squared values closer to 1.0 are good.  The tool has an option to save the curve object into an output file by running another macro (SaveCurveObjToTextFile).  The option output files and the directory path are specified in the OUTPUT tab in cells C2 and C3, respectively. If the output file name and path are left blank, then default names, "EplusCurveObjects.IDF" and the local directory where the tool is located are used.  The local directory where the tool is located must not have write restriction.</a:t>
          </a:r>
        </a:p>
        <a:p>
          <a:endParaRPr lang="en-US" sz="1100"/>
        </a:p>
        <a:p>
          <a:r>
            <a:rPr lang="en-US" sz="1100" b="1">
              <a:solidFill>
                <a:schemeClr val="dk1"/>
              </a:solidFill>
              <a:effectLst/>
              <a:latin typeface="+mn-lt"/>
              <a:ea typeface="+mn-ea"/>
              <a:cs typeface="+mn-cs"/>
            </a:rPr>
            <a:t>ERROR MESSAGE:</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Reports progress of the curve object generation calculation starting from reading input data to error massage output file "errorCurveObjects.txt".  This error message file provides information whether the tool run successfully or not.  Also points to the step where problem occurred.</a:t>
          </a:r>
        </a:p>
        <a:p>
          <a:r>
            <a:rPr lang="en-US" sz="1100">
              <a:solidFill>
                <a:schemeClr val="dk1"/>
              </a:solidFill>
              <a:effectLst/>
              <a:latin typeface="+mn-lt"/>
              <a:ea typeface="+mn-ea"/>
              <a:cs typeface="+mn-cs"/>
            </a:rPr>
            <a:t> </a:t>
          </a:r>
        </a:p>
        <a:p>
          <a:r>
            <a:rPr lang="en-US" sz="1100" b="1">
              <a:solidFill>
                <a:schemeClr val="dk1"/>
              </a:solidFill>
              <a:effectLst/>
              <a:latin typeface="+mn-lt"/>
              <a:ea typeface="+mn-ea"/>
              <a:cs typeface="+mn-cs"/>
            </a:rPr>
            <a:t>Notes:</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This tool has been tested on Ubuntu 11 using Libre Office and Macintosh 2011 machines.  But the button for running the macro may not be imported properly on Ubuntu hence users may have to run the tool manually by selecting "</a:t>
          </a:r>
          <a:r>
            <a:rPr lang="en-US" sz="1100" b="1">
              <a:solidFill>
                <a:schemeClr val="dk1"/>
              </a:solidFill>
              <a:effectLst/>
              <a:latin typeface="+mn-lt"/>
              <a:ea typeface="+mn-ea"/>
              <a:cs typeface="+mn-cs"/>
            </a:rPr>
            <a:t>ManageCurveFit</a:t>
          </a:r>
          <a:r>
            <a:rPr lang="en-US" sz="1100">
              <a:solidFill>
                <a:schemeClr val="dk1"/>
              </a:solidFill>
              <a:effectLst/>
              <a:latin typeface="+mn-lt"/>
              <a:ea typeface="+mn-ea"/>
              <a:cs typeface="+mn-cs"/>
            </a:rPr>
            <a:t>" and “</a:t>
          </a:r>
          <a:r>
            <a:rPr lang="en-US" sz="1100" b="1">
              <a:solidFill>
                <a:schemeClr val="dk1"/>
              </a:solidFill>
              <a:effectLst/>
              <a:latin typeface="+mn-lt"/>
              <a:ea typeface="+mn-ea"/>
              <a:cs typeface="+mn-cs"/>
            </a:rPr>
            <a:t>SaveCurveObjToTextFile</a:t>
          </a:r>
          <a:r>
            <a:rPr lang="en-US" sz="1100">
              <a:solidFill>
                <a:schemeClr val="dk1"/>
              </a:solidFill>
              <a:effectLst/>
              <a:latin typeface="+mn-lt"/>
              <a:ea typeface="+mn-ea"/>
              <a:cs typeface="+mn-cs"/>
            </a:rPr>
            <a:t>” subroutine from the macro list.</a:t>
          </a:r>
        </a:p>
        <a:p>
          <a:r>
            <a:rPr lang="en-US" sz="1100">
              <a:solidFill>
                <a:schemeClr val="dk1"/>
              </a:solidFill>
              <a:effectLst/>
              <a:latin typeface="+mn-lt"/>
              <a:ea typeface="+mn-ea"/>
              <a:cs typeface="+mn-cs"/>
            </a:rPr>
            <a:t> </a:t>
          </a:r>
        </a:p>
        <a:p>
          <a:r>
            <a:rPr lang="en-US" sz="1100" b="1">
              <a:solidFill>
                <a:schemeClr val="dk1"/>
              </a:solidFill>
              <a:effectLst/>
              <a:latin typeface="+mn-lt"/>
              <a:ea typeface="+mn-ea"/>
              <a:cs typeface="+mn-cs"/>
            </a:rPr>
            <a:t>References:</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AHRI 2008. ANSI/AHRI Standard 210/240: 2008 Standard for Performance Rating of Unitary Air-Conditioning &amp; Air-Source Heat Pump Equipment. Arlington, VA: Air-Conditioning, Heating, and Refrigeration Institute.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AHRI 2007. ANSI/AHRI Standard 340/360: 2007 Standard for Performance Rating of Commercial and Industrial Unitary Air-Conditioning and Heat Pump Equipment. Arlington, VA: Air-Conditioning, Heating, and Refrigeration Institute.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AHRI 2003. ANSI/AHRI Standard 550/590: 2003 Standard for Performance Rating Of Water -Chilling Packages Using The Vapor Compression Cycle. Arlington, VA: Air-Conditioning, Heating, and Refrigeration Institute.</a:t>
          </a:r>
        </a:p>
      </xdr:txBody>
    </xdr:sp>
    <xdr:clientData/>
  </xdr:twoCellAnchor>
  <xdr:twoCellAnchor editAs="oneCell">
    <xdr:from>
      <xdr:col>1</xdr:col>
      <xdr:colOff>0</xdr:colOff>
      <xdr:row>100</xdr:row>
      <xdr:rowOff>0</xdr:rowOff>
    </xdr:from>
    <xdr:to>
      <xdr:col>11</xdr:col>
      <xdr:colOff>1048872</xdr:colOff>
      <xdr:row>123</xdr:row>
      <xdr:rowOff>74236</xdr:rowOff>
    </xdr:to>
    <xdr:pic>
      <xdr:nvPicPr>
        <xdr:cNvPr id="5" name="Picture 4"/>
        <xdr:cNvPicPr>
          <a:picLocks noChangeAspect="1"/>
        </xdr:cNvPicPr>
      </xdr:nvPicPr>
      <xdr:blipFill>
        <a:blip xmlns:r="http://schemas.openxmlformats.org/officeDocument/2006/relationships" r:embed="rId1"/>
        <a:stretch>
          <a:fillRect/>
        </a:stretch>
      </xdr:blipFill>
      <xdr:spPr>
        <a:xfrm>
          <a:off x="609600" y="18907125"/>
          <a:ext cx="7897347" cy="4455736"/>
        </a:xfrm>
        <a:prstGeom prst="rect">
          <a:avLst/>
        </a:prstGeom>
      </xdr:spPr>
    </xdr:pic>
    <xdr:clientData/>
  </xdr:twoCellAnchor>
  <xdr:twoCellAnchor editAs="oneCell">
    <xdr:from>
      <xdr:col>1</xdr:col>
      <xdr:colOff>133350</xdr:colOff>
      <xdr:row>223</xdr:row>
      <xdr:rowOff>19050</xdr:rowOff>
    </xdr:from>
    <xdr:to>
      <xdr:col>11</xdr:col>
      <xdr:colOff>533400</xdr:colOff>
      <xdr:row>237</xdr:row>
      <xdr:rowOff>176869</xdr:rowOff>
    </xdr:to>
    <xdr:pic>
      <xdr:nvPicPr>
        <xdr:cNvPr id="6" name="Picture 5"/>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2950" y="42281475"/>
          <a:ext cx="8963025" cy="28248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104775</xdr:colOff>
          <xdr:row>3</xdr:row>
          <xdr:rowOff>38100</xdr:rowOff>
        </xdr:from>
        <xdr:to>
          <xdr:col>4</xdr:col>
          <xdr:colOff>1409700</xdr:colOff>
          <xdr:row>5</xdr:row>
          <xdr:rowOff>123825</xdr:rowOff>
        </xdr:to>
        <xdr:sp macro="" textlink="">
          <xdr:nvSpPr>
            <xdr:cNvPr id="2068" name="Button 20" hidden="1">
              <a:extLst>
                <a:ext uri="{63B3BB69-23CF-44E3-9099-C40C66FF867C}">
                  <a14:compatExt spid="_x0000_s2068"/>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600" b="1" i="0" u="none" strike="noStrike" baseline="0">
                  <a:solidFill>
                    <a:srgbClr val="0000FF"/>
                  </a:solidFill>
                  <a:latin typeface="Calibri"/>
                </a:rPr>
                <a:t>Press To Generate Curves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xdr:colOff>
          <xdr:row>4</xdr:row>
          <xdr:rowOff>0</xdr:rowOff>
        </xdr:from>
        <xdr:to>
          <xdr:col>6</xdr:col>
          <xdr:colOff>295275</xdr:colOff>
          <xdr:row>6</xdr:row>
          <xdr:rowOff>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0" u="none" strike="noStrike" baseline="0">
                  <a:solidFill>
                    <a:srgbClr val="0000FF"/>
                  </a:solidFill>
                  <a:latin typeface="Calibri"/>
                </a:rPr>
                <a:t>Save Curve Objects to a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98:V279"/>
  <sheetViews>
    <sheetView topLeftCell="A88" zoomScaleNormal="100" workbookViewId="0">
      <selection activeCell="B162" sqref="B162:F162"/>
    </sheetView>
  </sheetViews>
  <sheetFormatPr defaultRowHeight="15" x14ac:dyDescent="0.25"/>
  <cols>
    <col min="1" max="3" width="9.140625" customWidth="1"/>
    <col min="4" max="4" width="10.28515625" customWidth="1"/>
    <col min="5" max="5" width="9.140625" customWidth="1"/>
    <col min="8" max="10" width="10.42578125" customWidth="1"/>
    <col min="11" max="11" width="15.42578125" customWidth="1"/>
    <col min="12" max="12" width="16.140625" customWidth="1"/>
    <col min="13" max="13" width="13.42578125" customWidth="1"/>
    <col min="14" max="14" width="11.85546875" customWidth="1"/>
    <col min="16" max="17" width="10.28515625" customWidth="1"/>
    <col min="18" max="18" width="11.7109375" customWidth="1"/>
    <col min="19" max="19" width="12.42578125" customWidth="1"/>
    <col min="20" max="22" width="10.28515625" customWidth="1"/>
  </cols>
  <sheetData>
    <row r="98" spans="2:7" ht="18.75" x14ac:dyDescent="0.3">
      <c r="B98" s="36" t="s">
        <v>17</v>
      </c>
      <c r="C98" s="36"/>
    </row>
    <row r="99" spans="2:7" x14ac:dyDescent="0.25">
      <c r="B99" s="37" t="s">
        <v>18</v>
      </c>
      <c r="C99" s="37"/>
      <c r="D99" s="37"/>
      <c r="E99" s="37"/>
      <c r="F99" s="37"/>
      <c r="G99" s="37"/>
    </row>
    <row r="125" spans="2:22" x14ac:dyDescent="0.25">
      <c r="B125" s="38"/>
      <c r="C125" s="38"/>
      <c r="D125" s="38"/>
      <c r="E125" s="38"/>
      <c r="F125" s="38"/>
      <c r="G125" s="38"/>
      <c r="P125" s="37" t="s">
        <v>19</v>
      </c>
      <c r="Q125" s="39"/>
      <c r="R125" s="40">
        <v>510</v>
      </c>
      <c r="S125" t="s">
        <v>20</v>
      </c>
    </row>
    <row r="126" spans="2:22" x14ac:dyDescent="0.25">
      <c r="B126" s="38"/>
      <c r="C126" s="38"/>
      <c r="D126" s="38"/>
      <c r="E126" s="38"/>
      <c r="F126" s="38"/>
      <c r="G126" s="38"/>
    </row>
    <row r="127" spans="2:22" x14ac:dyDescent="0.25">
      <c r="H127" s="37" t="s">
        <v>21</v>
      </c>
      <c r="I127" s="37"/>
      <c r="J127" s="37"/>
      <c r="K127" s="37"/>
      <c r="L127" s="37"/>
      <c r="M127" s="37"/>
      <c r="N127" s="38"/>
      <c r="P127" s="37" t="s">
        <v>22</v>
      </c>
      <c r="Q127" s="37"/>
      <c r="R127" s="37"/>
      <c r="S127" s="37"/>
      <c r="T127" s="37"/>
      <c r="U127" s="37"/>
      <c r="V127" s="37"/>
    </row>
    <row r="128" spans="2:22" x14ac:dyDescent="0.25">
      <c r="B128" s="37" t="s">
        <v>23</v>
      </c>
      <c r="C128" s="37"/>
      <c r="D128" s="37"/>
      <c r="E128" s="37"/>
      <c r="H128" s="37" t="s">
        <v>24</v>
      </c>
      <c r="I128" s="37"/>
      <c r="J128" s="37"/>
      <c r="K128" s="37"/>
      <c r="L128" s="37"/>
      <c r="M128" s="37"/>
      <c r="P128" s="37" t="s">
        <v>25</v>
      </c>
      <c r="Q128" s="37"/>
      <c r="R128" s="37"/>
      <c r="S128" s="37"/>
      <c r="T128" s="37"/>
      <c r="U128" s="37"/>
    </row>
    <row r="129" spans="2:22" x14ac:dyDescent="0.25">
      <c r="M129" s="74" t="s">
        <v>26</v>
      </c>
      <c r="N129" s="74"/>
      <c r="T129" t="s">
        <v>26</v>
      </c>
      <c r="V129" t="s">
        <v>26</v>
      </c>
    </row>
    <row r="130" spans="2:22" ht="15.75" thickBot="1" x14ac:dyDescent="0.3">
      <c r="B130" s="41" t="s">
        <v>27</v>
      </c>
      <c r="C130" s="41" t="s">
        <v>53</v>
      </c>
      <c r="D130" s="41" t="s">
        <v>47</v>
      </c>
      <c r="E130" s="41" t="s">
        <v>54</v>
      </c>
      <c r="F130" s="41" t="s">
        <v>50</v>
      </c>
      <c r="H130" s="41" t="s">
        <v>27</v>
      </c>
      <c r="I130" s="41" t="s">
        <v>48</v>
      </c>
      <c r="J130" s="41" t="s">
        <v>47</v>
      </c>
      <c r="K130" s="41" t="s">
        <v>49</v>
      </c>
      <c r="L130" s="41" t="s">
        <v>50</v>
      </c>
      <c r="M130" s="41" t="s">
        <v>51</v>
      </c>
      <c r="N130" s="41" t="s">
        <v>52</v>
      </c>
      <c r="P130" s="41" t="s">
        <v>27</v>
      </c>
      <c r="Q130" s="41" t="s">
        <v>53</v>
      </c>
      <c r="R130" s="41" t="s">
        <v>47</v>
      </c>
      <c r="S130" s="41" t="s">
        <v>54</v>
      </c>
      <c r="T130" s="41" t="s">
        <v>55</v>
      </c>
      <c r="U130" s="41" t="s">
        <v>52</v>
      </c>
      <c r="V130" s="41" t="s">
        <v>56</v>
      </c>
    </row>
    <row r="131" spans="2:22" ht="15.75" thickTop="1" x14ac:dyDescent="0.25">
      <c r="B131">
        <v>800</v>
      </c>
      <c r="C131">
        <v>72</v>
      </c>
      <c r="D131">
        <v>85</v>
      </c>
      <c r="E131">
        <v>43.6</v>
      </c>
      <c r="F131">
        <v>3.29</v>
      </c>
      <c r="H131" s="42">
        <v>1100</v>
      </c>
      <c r="I131" s="42">
        <v>72</v>
      </c>
      <c r="J131" s="42">
        <v>85</v>
      </c>
      <c r="K131" s="43">
        <v>46.9</v>
      </c>
      <c r="L131" s="42">
        <v>3.41</v>
      </c>
      <c r="M131" s="67">
        <f>$K131+($R$125*3.4121/1000)</f>
        <v>48.640170999999995</v>
      </c>
      <c r="N131" s="68">
        <f>$L131-$R$125/1000</f>
        <v>2.9000000000000004</v>
      </c>
      <c r="P131" s="42">
        <v>800</v>
      </c>
      <c r="Q131" s="42">
        <v>67</v>
      </c>
      <c r="R131" s="42">
        <v>95</v>
      </c>
      <c r="S131" s="44">
        <v>37.200000000000003</v>
      </c>
      <c r="T131" s="45">
        <f>$S131+($R$125*3.412/1000)</f>
        <v>38.94012</v>
      </c>
      <c r="U131" s="44">
        <v>3.41</v>
      </c>
      <c r="V131" s="46">
        <f>$U131-$R$125/1000</f>
        <v>2.9000000000000004</v>
      </c>
    </row>
    <row r="132" spans="2:22" x14ac:dyDescent="0.25">
      <c r="B132">
        <v>800</v>
      </c>
      <c r="C132">
        <v>67</v>
      </c>
      <c r="D132">
        <v>85</v>
      </c>
      <c r="E132">
        <v>39.4</v>
      </c>
      <c r="F132">
        <v>3.19</v>
      </c>
      <c r="H132" s="42">
        <v>1100</v>
      </c>
      <c r="I132" s="42">
        <v>67</v>
      </c>
      <c r="J132" s="42">
        <v>85</v>
      </c>
      <c r="K132" s="43">
        <v>42.5</v>
      </c>
      <c r="L132" s="42">
        <v>3.31</v>
      </c>
      <c r="M132" s="67">
        <f t="shared" ref="M132:M150" si="0">$K132+($R$125*3.4121/1000)</f>
        <v>44.240171000000004</v>
      </c>
      <c r="N132" s="68">
        <f t="shared" ref="N132:N150" si="1">$L132-$R$125/1000</f>
        <v>2.8</v>
      </c>
      <c r="P132" s="42">
        <v>900</v>
      </c>
      <c r="Q132" s="42">
        <v>67</v>
      </c>
      <c r="R132" s="42">
        <v>95</v>
      </c>
      <c r="S132" s="44">
        <v>38.299999999999997</v>
      </c>
      <c r="T132" s="45">
        <f t="shared" ref="T132:T135" si="2">$S132+($R$125*3.412/1000)</f>
        <v>40.040119999999995</v>
      </c>
      <c r="U132" s="44">
        <v>3.46</v>
      </c>
      <c r="V132" s="46">
        <f t="shared" ref="V132:V135" si="3">$U132-$R$125/1000</f>
        <v>2.95</v>
      </c>
    </row>
    <row r="133" spans="2:22" x14ac:dyDescent="0.25">
      <c r="B133">
        <v>800</v>
      </c>
      <c r="C133">
        <v>63</v>
      </c>
      <c r="D133">
        <v>85</v>
      </c>
      <c r="E133">
        <v>36.4</v>
      </c>
      <c r="F133">
        <v>3.11</v>
      </c>
      <c r="H133" s="42">
        <v>1100</v>
      </c>
      <c r="I133" s="42">
        <v>63</v>
      </c>
      <c r="J133" s="42">
        <v>85</v>
      </c>
      <c r="K133" s="43">
        <v>39.299999999999997</v>
      </c>
      <c r="L133" s="42">
        <v>3.23</v>
      </c>
      <c r="M133" s="67">
        <f t="shared" si="0"/>
        <v>41.040171000000001</v>
      </c>
      <c r="N133" s="68">
        <f t="shared" si="1"/>
        <v>2.7199999999999998</v>
      </c>
      <c r="P133" s="42">
        <v>990</v>
      </c>
      <c r="Q133" s="42">
        <v>67</v>
      </c>
      <c r="R133" s="42">
        <v>95</v>
      </c>
      <c r="S133" s="44">
        <v>39.200000000000003</v>
      </c>
      <c r="T133" s="45">
        <f t="shared" si="2"/>
        <v>40.94012</v>
      </c>
      <c r="U133" s="44">
        <v>3.5</v>
      </c>
      <c r="V133" s="46">
        <f t="shared" si="3"/>
        <v>2.99</v>
      </c>
    </row>
    <row r="134" spans="2:22" x14ac:dyDescent="0.25">
      <c r="B134">
        <v>800</v>
      </c>
      <c r="C134">
        <v>62</v>
      </c>
      <c r="D134">
        <v>85</v>
      </c>
      <c r="E134">
        <v>35.6</v>
      </c>
      <c r="F134">
        <v>3.09</v>
      </c>
      <c r="H134" s="42">
        <v>1100</v>
      </c>
      <c r="I134" s="42">
        <v>62</v>
      </c>
      <c r="J134" s="42">
        <v>85</v>
      </c>
      <c r="K134" s="43">
        <v>38.6</v>
      </c>
      <c r="L134" s="42">
        <v>3.21</v>
      </c>
      <c r="M134" s="67">
        <f t="shared" si="0"/>
        <v>40.340170999999998</v>
      </c>
      <c r="N134" s="68">
        <f t="shared" si="1"/>
        <v>2.7</v>
      </c>
      <c r="P134" s="42">
        <v>1100</v>
      </c>
      <c r="Q134" s="42">
        <v>67</v>
      </c>
      <c r="R134" s="42">
        <v>95</v>
      </c>
      <c r="S134" s="44">
        <v>40</v>
      </c>
      <c r="T134" s="45">
        <f t="shared" si="2"/>
        <v>41.740119999999997</v>
      </c>
      <c r="U134" s="44">
        <v>3.54</v>
      </c>
      <c r="V134" s="46">
        <f t="shared" si="3"/>
        <v>3.0300000000000002</v>
      </c>
    </row>
    <row r="135" spans="2:22" x14ac:dyDescent="0.25">
      <c r="B135">
        <v>800</v>
      </c>
      <c r="C135">
        <v>57</v>
      </c>
      <c r="D135">
        <v>85</v>
      </c>
      <c r="E135">
        <v>32.4</v>
      </c>
      <c r="F135" s="47">
        <v>3</v>
      </c>
      <c r="H135" s="42">
        <v>1100</v>
      </c>
      <c r="I135" s="42">
        <v>57</v>
      </c>
      <c r="J135" s="42">
        <v>85</v>
      </c>
      <c r="K135" s="43">
        <v>37</v>
      </c>
      <c r="L135" s="42">
        <v>3.17</v>
      </c>
      <c r="M135" s="67">
        <f t="shared" si="0"/>
        <v>38.740171000000004</v>
      </c>
      <c r="N135" s="68">
        <f t="shared" si="1"/>
        <v>2.66</v>
      </c>
      <c r="P135" s="42">
        <v>1225</v>
      </c>
      <c r="Q135" s="42">
        <v>67</v>
      </c>
      <c r="R135" s="42">
        <v>95</v>
      </c>
      <c r="S135" s="44">
        <v>40.799999999999997</v>
      </c>
      <c r="T135" s="45">
        <f t="shared" si="2"/>
        <v>42.540119999999995</v>
      </c>
      <c r="U135" s="44">
        <v>3.58</v>
      </c>
      <c r="V135" s="46">
        <f t="shared" si="3"/>
        <v>3.0700000000000003</v>
      </c>
    </row>
    <row r="136" spans="2:22" x14ac:dyDescent="0.25">
      <c r="B136">
        <v>900</v>
      </c>
      <c r="C136">
        <v>72</v>
      </c>
      <c r="D136">
        <v>85</v>
      </c>
      <c r="E136">
        <v>44.9</v>
      </c>
      <c r="F136">
        <v>3.33</v>
      </c>
      <c r="H136" s="42">
        <v>1100</v>
      </c>
      <c r="I136" s="42">
        <v>72</v>
      </c>
      <c r="J136" s="42">
        <v>95</v>
      </c>
      <c r="K136" s="43">
        <v>44.2</v>
      </c>
      <c r="L136" s="42">
        <v>3.66</v>
      </c>
      <c r="M136" s="67">
        <f t="shared" si="0"/>
        <v>45.940171000000007</v>
      </c>
      <c r="N136" s="68">
        <f t="shared" si="1"/>
        <v>3.1500000000000004</v>
      </c>
    </row>
    <row r="137" spans="2:22" x14ac:dyDescent="0.25">
      <c r="B137">
        <v>900</v>
      </c>
      <c r="C137">
        <v>67</v>
      </c>
      <c r="D137">
        <v>85</v>
      </c>
      <c r="E137">
        <v>40.6</v>
      </c>
      <c r="F137">
        <v>3.23</v>
      </c>
      <c r="H137" s="42">
        <v>1100</v>
      </c>
      <c r="I137" s="42">
        <v>67</v>
      </c>
      <c r="J137" s="42">
        <v>95</v>
      </c>
      <c r="K137" s="43">
        <v>40</v>
      </c>
      <c r="L137" s="42">
        <v>3.54</v>
      </c>
      <c r="M137" s="67">
        <f t="shared" si="0"/>
        <v>41.740171000000004</v>
      </c>
      <c r="N137" s="68">
        <f t="shared" si="1"/>
        <v>3.0300000000000002</v>
      </c>
    </row>
    <row r="138" spans="2:22" x14ac:dyDescent="0.25">
      <c r="B138">
        <v>900</v>
      </c>
      <c r="C138">
        <v>63</v>
      </c>
      <c r="D138">
        <v>85</v>
      </c>
      <c r="E138">
        <v>37.6</v>
      </c>
      <c r="F138">
        <v>3.16</v>
      </c>
      <c r="H138" s="42">
        <v>1100</v>
      </c>
      <c r="I138" s="42">
        <v>63</v>
      </c>
      <c r="J138" s="42">
        <v>95</v>
      </c>
      <c r="K138" s="43">
        <v>37</v>
      </c>
      <c r="L138" s="42">
        <v>3.45</v>
      </c>
      <c r="M138" s="67">
        <f t="shared" si="0"/>
        <v>38.740171000000004</v>
      </c>
      <c r="N138" s="68">
        <f t="shared" si="1"/>
        <v>2.9400000000000004</v>
      </c>
    </row>
    <row r="139" spans="2:22" x14ac:dyDescent="0.25">
      <c r="B139">
        <v>900</v>
      </c>
      <c r="C139">
        <v>62</v>
      </c>
      <c r="D139">
        <v>85</v>
      </c>
      <c r="E139">
        <v>36.700000000000003</v>
      </c>
      <c r="F139">
        <v>3.13</v>
      </c>
      <c r="H139" s="42">
        <v>1100</v>
      </c>
      <c r="I139" s="42">
        <v>62</v>
      </c>
      <c r="J139" s="42">
        <v>95</v>
      </c>
      <c r="K139" s="43">
        <v>36.200000000000003</v>
      </c>
      <c r="L139" s="42">
        <v>3.43</v>
      </c>
      <c r="M139" s="67">
        <f t="shared" si="0"/>
        <v>37.940171000000007</v>
      </c>
      <c r="N139" s="68">
        <f t="shared" si="1"/>
        <v>2.92</v>
      </c>
    </row>
    <row r="140" spans="2:22" x14ac:dyDescent="0.25">
      <c r="B140">
        <v>900</v>
      </c>
      <c r="C140">
        <v>57</v>
      </c>
      <c r="D140">
        <v>85</v>
      </c>
      <c r="E140">
        <v>34.1</v>
      </c>
      <c r="F140">
        <v>3.07</v>
      </c>
      <c r="H140" s="42">
        <v>1100</v>
      </c>
      <c r="I140" s="42">
        <v>57</v>
      </c>
      <c r="J140" s="42">
        <v>95</v>
      </c>
      <c r="K140" s="43">
        <v>35.200000000000003</v>
      </c>
      <c r="L140" s="42">
        <v>3.39</v>
      </c>
      <c r="M140" s="67">
        <f t="shared" si="0"/>
        <v>36.940171000000007</v>
      </c>
      <c r="N140" s="68">
        <f t="shared" si="1"/>
        <v>2.88</v>
      </c>
      <c r="R140" s="73" t="s">
        <v>28</v>
      </c>
      <c r="S140" s="73"/>
      <c r="T140" s="73"/>
    </row>
    <row r="141" spans="2:22" x14ac:dyDescent="0.25">
      <c r="B141">
        <v>990</v>
      </c>
      <c r="C141">
        <v>72</v>
      </c>
      <c r="D141">
        <v>85</v>
      </c>
      <c r="E141">
        <v>45.9</v>
      </c>
      <c r="F141">
        <v>3.37</v>
      </c>
      <c r="H141" s="42">
        <v>1100</v>
      </c>
      <c r="I141" s="42">
        <v>72</v>
      </c>
      <c r="J141" s="42">
        <v>105</v>
      </c>
      <c r="K141" s="43">
        <v>41.4</v>
      </c>
      <c r="L141" s="42">
        <v>3.9</v>
      </c>
      <c r="M141" s="67">
        <f t="shared" si="0"/>
        <v>43.140170999999995</v>
      </c>
      <c r="N141" s="68">
        <f t="shared" si="1"/>
        <v>3.3899999999999997</v>
      </c>
      <c r="R141" s="71" t="s">
        <v>29</v>
      </c>
      <c r="S141" s="71"/>
      <c r="T141" s="71"/>
    </row>
    <row r="142" spans="2:22" x14ac:dyDescent="0.25">
      <c r="B142">
        <v>990</v>
      </c>
      <c r="C142">
        <v>67</v>
      </c>
      <c r="D142">
        <v>85</v>
      </c>
      <c r="E142">
        <v>41.6</v>
      </c>
      <c r="F142">
        <v>3.27</v>
      </c>
      <c r="H142" s="42">
        <v>1100</v>
      </c>
      <c r="I142" s="42">
        <v>67</v>
      </c>
      <c r="J142" s="42">
        <v>105</v>
      </c>
      <c r="K142" s="43">
        <v>37.5</v>
      </c>
      <c r="L142" s="42">
        <v>3.76</v>
      </c>
      <c r="M142" s="67">
        <f t="shared" si="0"/>
        <v>39.240171000000004</v>
      </c>
      <c r="N142" s="68">
        <f t="shared" si="1"/>
        <v>3.25</v>
      </c>
      <c r="R142" s="72"/>
      <c r="S142" s="72"/>
      <c r="T142" s="72"/>
    </row>
    <row r="143" spans="2:22" ht="15.75" thickBot="1" x14ac:dyDescent="0.3">
      <c r="B143">
        <v>990</v>
      </c>
      <c r="C143">
        <v>63</v>
      </c>
      <c r="D143">
        <v>85</v>
      </c>
      <c r="E143">
        <v>38.5</v>
      </c>
      <c r="F143">
        <v>3.19</v>
      </c>
      <c r="H143" s="42">
        <v>1100</v>
      </c>
      <c r="I143" s="42">
        <v>63</v>
      </c>
      <c r="J143" s="42">
        <v>105</v>
      </c>
      <c r="K143" s="43">
        <v>34.5</v>
      </c>
      <c r="L143" s="42">
        <v>3.65</v>
      </c>
      <c r="M143" s="67">
        <f t="shared" si="0"/>
        <v>36.240171000000004</v>
      </c>
      <c r="N143" s="68">
        <f t="shared" si="1"/>
        <v>3.1399999999999997</v>
      </c>
      <c r="R143" s="48" t="s">
        <v>27</v>
      </c>
      <c r="S143" s="48" t="s">
        <v>54</v>
      </c>
      <c r="T143" s="48" t="s">
        <v>52</v>
      </c>
    </row>
    <row r="144" spans="2:22" ht="15.75" thickTop="1" x14ac:dyDescent="0.25">
      <c r="B144">
        <v>990</v>
      </c>
      <c r="C144">
        <v>62</v>
      </c>
      <c r="D144">
        <v>85</v>
      </c>
      <c r="E144">
        <v>37.6</v>
      </c>
      <c r="F144">
        <v>3.17</v>
      </c>
      <c r="H144" s="42">
        <v>1100</v>
      </c>
      <c r="I144" s="42">
        <v>62</v>
      </c>
      <c r="J144" s="42">
        <v>105</v>
      </c>
      <c r="K144" s="43">
        <v>33.9</v>
      </c>
      <c r="L144" s="42">
        <v>3.63</v>
      </c>
      <c r="M144" s="67">
        <f t="shared" si="0"/>
        <v>35.640170999999995</v>
      </c>
      <c r="N144" s="68">
        <f t="shared" si="1"/>
        <v>3.12</v>
      </c>
      <c r="R144" s="69">
        <f>P131</f>
        <v>800</v>
      </c>
      <c r="S144" s="67">
        <f>T131</f>
        <v>38.94012</v>
      </c>
      <c r="T144" s="67">
        <f>V131</f>
        <v>2.9000000000000004</v>
      </c>
    </row>
    <row r="145" spans="2:20" x14ac:dyDescent="0.25">
      <c r="B145">
        <v>990</v>
      </c>
      <c r="C145">
        <v>57</v>
      </c>
      <c r="D145">
        <v>85</v>
      </c>
      <c r="E145">
        <v>35.5</v>
      </c>
      <c r="F145">
        <v>3.12</v>
      </c>
      <c r="H145" s="42">
        <v>1100</v>
      </c>
      <c r="I145" s="42">
        <v>57</v>
      </c>
      <c r="J145" s="42">
        <v>105</v>
      </c>
      <c r="K145" s="43">
        <v>33.4</v>
      </c>
      <c r="L145" s="42">
        <v>3.61</v>
      </c>
      <c r="M145" s="67">
        <f t="shared" si="0"/>
        <v>35.140170999999995</v>
      </c>
      <c r="N145" s="68">
        <f t="shared" si="1"/>
        <v>3.0999999999999996</v>
      </c>
      <c r="R145" s="69">
        <f>P132</f>
        <v>900</v>
      </c>
      <c r="S145" s="67">
        <f>T132</f>
        <v>40.040119999999995</v>
      </c>
      <c r="T145" s="67">
        <f>V132</f>
        <v>2.95</v>
      </c>
    </row>
    <row r="146" spans="2:20" x14ac:dyDescent="0.25">
      <c r="B146">
        <v>1100</v>
      </c>
      <c r="C146">
        <v>72</v>
      </c>
      <c r="D146">
        <v>85</v>
      </c>
      <c r="E146">
        <v>46.9</v>
      </c>
      <c r="F146">
        <v>3.41</v>
      </c>
      <c r="H146" s="42">
        <v>1100</v>
      </c>
      <c r="I146" s="42">
        <v>72</v>
      </c>
      <c r="J146" s="42">
        <v>115</v>
      </c>
      <c r="K146" s="43">
        <v>38.700000000000003</v>
      </c>
      <c r="L146" s="42">
        <v>4.13</v>
      </c>
      <c r="M146" s="67">
        <f t="shared" si="0"/>
        <v>40.440171000000007</v>
      </c>
      <c r="N146" s="68">
        <f t="shared" si="1"/>
        <v>3.62</v>
      </c>
      <c r="R146" s="69">
        <f>P133</f>
        <v>990</v>
      </c>
      <c r="S146" s="67">
        <f>T133</f>
        <v>40.94012</v>
      </c>
      <c r="T146" s="67">
        <f>V133</f>
        <v>2.99</v>
      </c>
    </row>
    <row r="147" spans="2:20" x14ac:dyDescent="0.25">
      <c r="B147">
        <v>1100</v>
      </c>
      <c r="C147">
        <v>67</v>
      </c>
      <c r="D147">
        <v>85</v>
      </c>
      <c r="E147">
        <v>42.5</v>
      </c>
      <c r="F147">
        <v>3.31</v>
      </c>
      <c r="H147" s="42">
        <v>1100</v>
      </c>
      <c r="I147" s="42">
        <v>67</v>
      </c>
      <c r="J147" s="42">
        <v>115</v>
      </c>
      <c r="K147" s="43">
        <v>34.9</v>
      </c>
      <c r="L147" s="42">
        <v>3.97</v>
      </c>
      <c r="M147" s="67">
        <f t="shared" si="0"/>
        <v>36.640170999999995</v>
      </c>
      <c r="N147" s="68">
        <f t="shared" si="1"/>
        <v>3.46</v>
      </c>
      <c r="R147" s="69">
        <f>P134</f>
        <v>1100</v>
      </c>
      <c r="S147" s="67">
        <f>T134</f>
        <v>41.740119999999997</v>
      </c>
      <c r="T147" s="67">
        <f>V134</f>
        <v>3.0300000000000002</v>
      </c>
    </row>
    <row r="148" spans="2:20" x14ac:dyDescent="0.25">
      <c r="B148">
        <v>1100</v>
      </c>
      <c r="C148">
        <v>63</v>
      </c>
      <c r="D148">
        <v>85</v>
      </c>
      <c r="E148">
        <v>39.299999999999997</v>
      </c>
      <c r="F148">
        <v>3.23</v>
      </c>
      <c r="H148" s="42">
        <v>1100</v>
      </c>
      <c r="I148" s="42">
        <v>63</v>
      </c>
      <c r="J148" s="42">
        <v>115</v>
      </c>
      <c r="K148" s="43">
        <v>32.1</v>
      </c>
      <c r="L148" s="42">
        <v>3.85</v>
      </c>
      <c r="M148" s="67">
        <f t="shared" si="0"/>
        <v>33.840170999999998</v>
      </c>
      <c r="N148" s="68">
        <f t="shared" si="1"/>
        <v>3.34</v>
      </c>
      <c r="R148" s="69">
        <f>P135</f>
        <v>1225</v>
      </c>
      <c r="S148" s="67">
        <f>T135</f>
        <v>42.540119999999995</v>
      </c>
      <c r="T148" s="67">
        <f>V135</f>
        <v>3.0700000000000003</v>
      </c>
    </row>
    <row r="149" spans="2:20" x14ac:dyDescent="0.25">
      <c r="B149">
        <v>1100</v>
      </c>
      <c r="C149">
        <v>62</v>
      </c>
      <c r="D149">
        <v>85</v>
      </c>
      <c r="E149">
        <v>38.6</v>
      </c>
      <c r="F149">
        <v>3.21</v>
      </c>
      <c r="H149" s="42">
        <v>1100</v>
      </c>
      <c r="I149" s="42">
        <v>62</v>
      </c>
      <c r="J149" s="42">
        <v>115</v>
      </c>
      <c r="K149" s="43">
        <v>31.6</v>
      </c>
      <c r="L149" s="42">
        <v>3.82</v>
      </c>
      <c r="M149" s="67">
        <f t="shared" si="0"/>
        <v>33.340170999999998</v>
      </c>
      <c r="N149" s="68">
        <f t="shared" si="1"/>
        <v>3.3099999999999996</v>
      </c>
    </row>
    <row r="150" spans="2:20" x14ac:dyDescent="0.25">
      <c r="B150">
        <v>1100</v>
      </c>
      <c r="C150">
        <v>57</v>
      </c>
      <c r="D150">
        <v>85</v>
      </c>
      <c r="E150">
        <v>37</v>
      </c>
      <c r="F150">
        <v>3.17</v>
      </c>
      <c r="H150" s="42">
        <v>1100</v>
      </c>
      <c r="I150" s="42">
        <v>57</v>
      </c>
      <c r="J150" s="42">
        <v>115</v>
      </c>
      <c r="K150" s="43">
        <v>31.5</v>
      </c>
      <c r="L150" s="42">
        <v>3.82</v>
      </c>
      <c r="M150" s="67">
        <f t="shared" si="0"/>
        <v>33.240171000000004</v>
      </c>
      <c r="N150" s="68">
        <f t="shared" si="1"/>
        <v>3.3099999999999996</v>
      </c>
    </row>
    <row r="151" spans="2:20" x14ac:dyDescent="0.25">
      <c r="B151">
        <v>1225</v>
      </c>
      <c r="C151">
        <v>72</v>
      </c>
      <c r="D151">
        <v>85</v>
      </c>
      <c r="E151">
        <v>47.8</v>
      </c>
      <c r="F151">
        <v>3.44</v>
      </c>
    </row>
    <row r="152" spans="2:20" x14ac:dyDescent="0.25">
      <c r="B152">
        <v>1225</v>
      </c>
      <c r="C152">
        <v>67</v>
      </c>
      <c r="D152">
        <v>85</v>
      </c>
      <c r="E152">
        <v>43.4</v>
      </c>
      <c r="F152">
        <v>3.35</v>
      </c>
    </row>
    <row r="153" spans="2:20" x14ac:dyDescent="0.25">
      <c r="B153">
        <v>1225</v>
      </c>
      <c r="C153">
        <v>63</v>
      </c>
      <c r="D153">
        <v>85</v>
      </c>
      <c r="E153">
        <v>40.200000000000003</v>
      </c>
      <c r="F153">
        <v>3.27</v>
      </c>
    </row>
    <row r="154" spans="2:20" x14ac:dyDescent="0.25">
      <c r="B154">
        <v>1225</v>
      </c>
      <c r="C154">
        <v>62</v>
      </c>
      <c r="D154">
        <v>85</v>
      </c>
      <c r="E154">
        <v>39.4</v>
      </c>
      <c r="F154">
        <v>3.25</v>
      </c>
      <c r="I154" s="73" t="s">
        <v>28</v>
      </c>
      <c r="J154" s="73"/>
      <c r="K154" s="73"/>
      <c r="L154" s="73"/>
      <c r="Q154" s="47"/>
    </row>
    <row r="155" spans="2:20" x14ac:dyDescent="0.25">
      <c r="B155">
        <v>1225</v>
      </c>
      <c r="C155">
        <v>57</v>
      </c>
      <c r="D155">
        <v>85</v>
      </c>
      <c r="E155">
        <v>38.5</v>
      </c>
      <c r="F155">
        <v>3.23</v>
      </c>
      <c r="I155" s="71" t="s">
        <v>30</v>
      </c>
      <c r="J155" s="71"/>
      <c r="K155" s="71"/>
      <c r="L155" s="71"/>
      <c r="Q155" s="50"/>
    </row>
    <row r="156" spans="2:20" x14ac:dyDescent="0.25">
      <c r="B156">
        <v>800</v>
      </c>
      <c r="C156">
        <v>72</v>
      </c>
      <c r="D156">
        <v>95</v>
      </c>
      <c r="E156">
        <v>41.2</v>
      </c>
      <c r="F156">
        <v>3.53</v>
      </c>
      <c r="I156" s="72"/>
      <c r="J156" s="72"/>
      <c r="K156" s="72"/>
      <c r="L156" s="72"/>
      <c r="Q156" s="51"/>
    </row>
    <row r="157" spans="2:20" ht="15.75" thickBot="1" x14ac:dyDescent="0.3">
      <c r="B157">
        <v>800</v>
      </c>
      <c r="C157">
        <v>67</v>
      </c>
      <c r="D157">
        <v>95</v>
      </c>
      <c r="E157">
        <v>37.200000000000003</v>
      </c>
      <c r="F157">
        <v>3.41</v>
      </c>
      <c r="I157" s="52" t="s">
        <v>53</v>
      </c>
      <c r="J157" s="52" t="s">
        <v>47</v>
      </c>
      <c r="K157" s="52" t="s">
        <v>54</v>
      </c>
      <c r="L157" s="52" t="s">
        <v>57</v>
      </c>
      <c r="Q157" s="53"/>
    </row>
    <row r="158" spans="2:20" ht="15.75" thickTop="1" x14ac:dyDescent="0.25">
      <c r="B158">
        <v>800</v>
      </c>
      <c r="C158">
        <v>63</v>
      </c>
      <c r="D158">
        <v>95</v>
      </c>
      <c r="E158">
        <v>34.299999999999997</v>
      </c>
      <c r="F158">
        <v>3.32</v>
      </c>
      <c r="I158" s="49">
        <f>I131</f>
        <v>72</v>
      </c>
      <c r="J158" s="49">
        <f t="shared" ref="J158" si="4">J131</f>
        <v>85</v>
      </c>
      <c r="K158" s="45">
        <f>M131</f>
        <v>48.640170999999995</v>
      </c>
      <c r="L158" s="45">
        <f>N131</f>
        <v>2.9000000000000004</v>
      </c>
    </row>
    <row r="159" spans="2:20" x14ac:dyDescent="0.25">
      <c r="B159">
        <v>800</v>
      </c>
      <c r="C159">
        <v>62</v>
      </c>
      <c r="D159">
        <v>95</v>
      </c>
      <c r="E159">
        <v>33.6</v>
      </c>
      <c r="F159">
        <v>3.29</v>
      </c>
      <c r="I159" s="49">
        <f t="shared" ref="I159:J159" si="5">I132</f>
        <v>67</v>
      </c>
      <c r="J159" s="49">
        <f t="shared" si="5"/>
        <v>85</v>
      </c>
      <c r="K159" s="45">
        <f t="shared" ref="K159:K177" si="6">M132</f>
        <v>44.240171000000004</v>
      </c>
      <c r="L159" s="45">
        <f t="shared" ref="L159:L177" si="7">N132</f>
        <v>2.8</v>
      </c>
    </row>
    <row r="160" spans="2:20" x14ac:dyDescent="0.25">
      <c r="B160">
        <v>800</v>
      </c>
      <c r="C160">
        <v>57</v>
      </c>
      <c r="D160">
        <v>95</v>
      </c>
      <c r="E160">
        <v>30.9</v>
      </c>
      <c r="F160">
        <v>3.21</v>
      </c>
      <c r="I160" s="49">
        <f t="shared" ref="I160:J160" si="8">I133</f>
        <v>63</v>
      </c>
      <c r="J160" s="49">
        <f t="shared" si="8"/>
        <v>85</v>
      </c>
      <c r="K160" s="45">
        <f t="shared" si="6"/>
        <v>41.040171000000001</v>
      </c>
      <c r="L160" s="45">
        <f t="shared" si="7"/>
        <v>2.7199999999999998</v>
      </c>
    </row>
    <row r="161" spans="2:12" x14ac:dyDescent="0.25">
      <c r="B161">
        <v>900</v>
      </c>
      <c r="C161">
        <v>72</v>
      </c>
      <c r="D161">
        <v>95</v>
      </c>
      <c r="E161">
        <v>42.4</v>
      </c>
      <c r="F161">
        <v>3.58</v>
      </c>
      <c r="I161" s="49">
        <f t="shared" ref="I161:J161" si="9">I134</f>
        <v>62</v>
      </c>
      <c r="J161" s="49">
        <f t="shared" si="9"/>
        <v>85</v>
      </c>
      <c r="K161" s="45">
        <f t="shared" si="6"/>
        <v>40.340170999999998</v>
      </c>
      <c r="L161" s="45">
        <f t="shared" si="7"/>
        <v>2.7</v>
      </c>
    </row>
    <row r="162" spans="2:12" x14ac:dyDescent="0.25">
      <c r="B162">
        <v>900</v>
      </c>
      <c r="C162">
        <v>67</v>
      </c>
      <c r="D162">
        <v>95</v>
      </c>
      <c r="E162">
        <v>38.299999999999997</v>
      </c>
      <c r="F162">
        <v>3.46</v>
      </c>
      <c r="I162" s="49">
        <f t="shared" ref="I162:J162" si="10">I135</f>
        <v>57</v>
      </c>
      <c r="J162" s="49">
        <f t="shared" si="10"/>
        <v>85</v>
      </c>
      <c r="K162" s="45">
        <f t="shared" si="6"/>
        <v>38.740171000000004</v>
      </c>
      <c r="L162" s="45">
        <f t="shared" si="7"/>
        <v>2.66</v>
      </c>
    </row>
    <row r="163" spans="2:12" x14ac:dyDescent="0.25">
      <c r="B163">
        <v>900</v>
      </c>
      <c r="C163">
        <v>63</v>
      </c>
      <c r="D163">
        <v>95</v>
      </c>
      <c r="E163">
        <v>35.4</v>
      </c>
      <c r="F163">
        <v>3.37</v>
      </c>
      <c r="I163" s="49">
        <f t="shared" ref="I163:J163" si="11">I136</f>
        <v>72</v>
      </c>
      <c r="J163" s="49">
        <f t="shared" si="11"/>
        <v>95</v>
      </c>
      <c r="K163" s="45">
        <f t="shared" si="6"/>
        <v>45.940171000000007</v>
      </c>
      <c r="L163" s="45">
        <f t="shared" si="7"/>
        <v>3.1500000000000004</v>
      </c>
    </row>
    <row r="164" spans="2:12" x14ac:dyDescent="0.25">
      <c r="B164">
        <v>900</v>
      </c>
      <c r="C164">
        <v>62</v>
      </c>
      <c r="D164">
        <v>95</v>
      </c>
      <c r="E164">
        <v>34.6</v>
      </c>
      <c r="F164">
        <v>3.34</v>
      </c>
      <c r="I164" s="49">
        <f t="shared" ref="I164:J164" si="12">I137</f>
        <v>67</v>
      </c>
      <c r="J164" s="49">
        <f t="shared" si="12"/>
        <v>95</v>
      </c>
      <c r="K164" s="45">
        <f t="shared" si="6"/>
        <v>41.740171000000004</v>
      </c>
      <c r="L164" s="45">
        <f t="shared" si="7"/>
        <v>3.0300000000000002</v>
      </c>
    </row>
    <row r="165" spans="2:12" x14ac:dyDescent="0.25">
      <c r="B165">
        <v>900</v>
      </c>
      <c r="C165">
        <v>57</v>
      </c>
      <c r="D165">
        <v>95</v>
      </c>
      <c r="E165">
        <v>32.5</v>
      </c>
      <c r="F165">
        <v>3.28</v>
      </c>
      <c r="I165" s="49">
        <f t="shared" ref="I165:J165" si="13">I138</f>
        <v>63</v>
      </c>
      <c r="J165" s="49">
        <f t="shared" si="13"/>
        <v>95</v>
      </c>
      <c r="K165" s="45">
        <f t="shared" si="6"/>
        <v>38.740171000000004</v>
      </c>
      <c r="L165" s="45">
        <f t="shared" si="7"/>
        <v>2.9400000000000004</v>
      </c>
    </row>
    <row r="166" spans="2:12" x14ac:dyDescent="0.25">
      <c r="B166">
        <v>990</v>
      </c>
      <c r="C166">
        <v>72</v>
      </c>
      <c r="D166">
        <v>95</v>
      </c>
      <c r="E166">
        <v>43.2</v>
      </c>
      <c r="F166">
        <v>3.62</v>
      </c>
      <c r="I166" s="49">
        <f t="shared" ref="I166:J166" si="14">I139</f>
        <v>62</v>
      </c>
      <c r="J166" s="49">
        <f t="shared" si="14"/>
        <v>95</v>
      </c>
      <c r="K166" s="45">
        <f t="shared" si="6"/>
        <v>37.940171000000007</v>
      </c>
      <c r="L166" s="45">
        <f t="shared" si="7"/>
        <v>2.92</v>
      </c>
    </row>
    <row r="167" spans="2:12" x14ac:dyDescent="0.25">
      <c r="B167">
        <v>990</v>
      </c>
      <c r="C167">
        <v>67</v>
      </c>
      <c r="D167">
        <v>95</v>
      </c>
      <c r="E167">
        <v>39.200000000000003</v>
      </c>
      <c r="F167">
        <v>3.5</v>
      </c>
      <c r="I167" s="49">
        <f t="shared" ref="I167:J167" si="15">I140</f>
        <v>57</v>
      </c>
      <c r="J167" s="49">
        <f t="shared" si="15"/>
        <v>95</v>
      </c>
      <c r="K167" s="45">
        <f t="shared" si="6"/>
        <v>36.940171000000007</v>
      </c>
      <c r="L167" s="45">
        <f t="shared" si="7"/>
        <v>2.88</v>
      </c>
    </row>
    <row r="168" spans="2:12" x14ac:dyDescent="0.25">
      <c r="B168">
        <v>990</v>
      </c>
      <c r="C168">
        <v>63</v>
      </c>
      <c r="D168">
        <v>95</v>
      </c>
      <c r="E168">
        <v>36.200000000000003</v>
      </c>
      <c r="F168">
        <v>3.41</v>
      </c>
      <c r="I168" s="49">
        <f t="shared" ref="I168:J168" si="16">I141</f>
        <v>72</v>
      </c>
      <c r="J168" s="49">
        <f t="shared" si="16"/>
        <v>105</v>
      </c>
      <c r="K168" s="45">
        <f t="shared" si="6"/>
        <v>43.140170999999995</v>
      </c>
      <c r="L168" s="45">
        <f t="shared" si="7"/>
        <v>3.3899999999999997</v>
      </c>
    </row>
    <row r="169" spans="2:12" x14ac:dyDescent="0.25">
      <c r="B169">
        <v>990</v>
      </c>
      <c r="C169">
        <v>62</v>
      </c>
      <c r="D169">
        <v>95</v>
      </c>
      <c r="E169">
        <v>35.4</v>
      </c>
      <c r="F169">
        <v>3.38</v>
      </c>
      <c r="I169" s="49">
        <f t="shared" ref="I169:J169" si="17">I142</f>
        <v>67</v>
      </c>
      <c r="J169" s="49">
        <f t="shared" si="17"/>
        <v>105</v>
      </c>
      <c r="K169" s="45">
        <f t="shared" si="6"/>
        <v>39.240171000000004</v>
      </c>
      <c r="L169" s="45">
        <f t="shared" si="7"/>
        <v>3.25</v>
      </c>
    </row>
    <row r="170" spans="2:12" x14ac:dyDescent="0.25">
      <c r="B170">
        <v>990</v>
      </c>
      <c r="C170">
        <v>57</v>
      </c>
      <c r="D170">
        <v>95</v>
      </c>
      <c r="E170">
        <v>33.799999999999997</v>
      </c>
      <c r="F170">
        <v>3.33</v>
      </c>
      <c r="I170" s="49">
        <f t="shared" ref="I170:J170" si="18">I143</f>
        <v>63</v>
      </c>
      <c r="J170" s="49">
        <f t="shared" si="18"/>
        <v>105</v>
      </c>
      <c r="K170" s="45">
        <f t="shared" si="6"/>
        <v>36.240171000000004</v>
      </c>
      <c r="L170" s="45">
        <f t="shared" si="7"/>
        <v>3.1399999999999997</v>
      </c>
    </row>
    <row r="171" spans="2:12" x14ac:dyDescent="0.25">
      <c r="B171">
        <v>1100</v>
      </c>
      <c r="C171">
        <v>72</v>
      </c>
      <c r="D171">
        <v>95</v>
      </c>
      <c r="E171">
        <v>44.2</v>
      </c>
      <c r="F171">
        <v>3.66</v>
      </c>
      <c r="I171" s="49">
        <f t="shared" ref="I171:J171" si="19">I144</f>
        <v>62</v>
      </c>
      <c r="J171" s="49">
        <f t="shared" si="19"/>
        <v>105</v>
      </c>
      <c r="K171" s="45">
        <f t="shared" si="6"/>
        <v>35.640170999999995</v>
      </c>
      <c r="L171" s="45">
        <f t="shared" si="7"/>
        <v>3.12</v>
      </c>
    </row>
    <row r="172" spans="2:12" x14ac:dyDescent="0.25">
      <c r="B172">
        <v>1100</v>
      </c>
      <c r="C172">
        <v>67</v>
      </c>
      <c r="D172">
        <v>95</v>
      </c>
      <c r="E172">
        <v>40</v>
      </c>
      <c r="F172">
        <v>3.54</v>
      </c>
      <c r="I172" s="49">
        <f t="shared" ref="I172:J172" si="20">I145</f>
        <v>57</v>
      </c>
      <c r="J172" s="49">
        <f t="shared" si="20"/>
        <v>105</v>
      </c>
      <c r="K172" s="45">
        <f t="shared" si="6"/>
        <v>35.140170999999995</v>
      </c>
      <c r="L172" s="45">
        <f t="shared" si="7"/>
        <v>3.0999999999999996</v>
      </c>
    </row>
    <row r="173" spans="2:12" x14ac:dyDescent="0.25">
      <c r="B173">
        <v>1100</v>
      </c>
      <c r="C173">
        <v>63</v>
      </c>
      <c r="D173">
        <v>95</v>
      </c>
      <c r="E173">
        <v>37</v>
      </c>
      <c r="F173">
        <v>3.45</v>
      </c>
      <c r="I173" s="49">
        <f t="shared" ref="I173:J173" si="21">I146</f>
        <v>72</v>
      </c>
      <c r="J173" s="49">
        <f t="shared" si="21"/>
        <v>115</v>
      </c>
      <c r="K173" s="45">
        <f t="shared" si="6"/>
        <v>40.440171000000007</v>
      </c>
      <c r="L173" s="45">
        <f t="shared" si="7"/>
        <v>3.62</v>
      </c>
    </row>
    <row r="174" spans="2:12" x14ac:dyDescent="0.25">
      <c r="B174">
        <v>1100</v>
      </c>
      <c r="C174">
        <v>62</v>
      </c>
      <c r="D174">
        <v>95</v>
      </c>
      <c r="E174">
        <v>36.200000000000003</v>
      </c>
      <c r="F174">
        <v>3.43</v>
      </c>
      <c r="I174" s="49">
        <f t="shared" ref="I174:J174" si="22">I147</f>
        <v>67</v>
      </c>
      <c r="J174" s="49">
        <f t="shared" si="22"/>
        <v>115</v>
      </c>
      <c r="K174" s="45">
        <f t="shared" si="6"/>
        <v>36.640170999999995</v>
      </c>
      <c r="L174" s="45">
        <f t="shared" si="7"/>
        <v>3.46</v>
      </c>
    </row>
    <row r="175" spans="2:12" x14ac:dyDescent="0.25">
      <c r="B175">
        <v>1100</v>
      </c>
      <c r="C175">
        <v>57</v>
      </c>
      <c r="D175">
        <v>95</v>
      </c>
      <c r="E175">
        <v>35.200000000000003</v>
      </c>
      <c r="F175">
        <v>3.39</v>
      </c>
      <c r="I175" s="49">
        <f t="shared" ref="I175:J175" si="23">I148</f>
        <v>63</v>
      </c>
      <c r="J175" s="49">
        <f t="shared" si="23"/>
        <v>115</v>
      </c>
      <c r="K175" s="45">
        <f t="shared" si="6"/>
        <v>33.840170999999998</v>
      </c>
      <c r="L175" s="45">
        <f t="shared" si="7"/>
        <v>3.34</v>
      </c>
    </row>
    <row r="176" spans="2:12" x14ac:dyDescent="0.25">
      <c r="B176">
        <v>1225</v>
      </c>
      <c r="C176">
        <v>72</v>
      </c>
      <c r="D176">
        <v>95</v>
      </c>
      <c r="E176">
        <v>45</v>
      </c>
      <c r="F176">
        <v>3.7</v>
      </c>
      <c r="I176" s="49">
        <f t="shared" ref="I176:J176" si="24">I149</f>
        <v>62</v>
      </c>
      <c r="J176" s="49">
        <f t="shared" si="24"/>
        <v>115</v>
      </c>
      <c r="K176" s="45">
        <f t="shared" si="6"/>
        <v>33.340170999999998</v>
      </c>
      <c r="L176" s="45">
        <f t="shared" si="7"/>
        <v>3.3099999999999996</v>
      </c>
    </row>
    <row r="177" spans="2:12" x14ac:dyDescent="0.25">
      <c r="B177">
        <v>1225</v>
      </c>
      <c r="C177">
        <v>67</v>
      </c>
      <c r="D177">
        <v>95</v>
      </c>
      <c r="E177">
        <v>40.799999999999997</v>
      </c>
      <c r="F177">
        <v>3.58</v>
      </c>
      <c r="I177" s="49">
        <f t="shared" ref="I177:J177" si="25">I150</f>
        <v>57</v>
      </c>
      <c r="J177" s="49">
        <f t="shared" si="25"/>
        <v>115</v>
      </c>
      <c r="K177" s="45">
        <f t="shared" si="6"/>
        <v>33.240171000000004</v>
      </c>
      <c r="L177" s="45">
        <f t="shared" si="7"/>
        <v>3.3099999999999996</v>
      </c>
    </row>
    <row r="178" spans="2:12" x14ac:dyDescent="0.25">
      <c r="B178">
        <v>1225</v>
      </c>
      <c r="C178">
        <v>63</v>
      </c>
      <c r="D178">
        <v>95</v>
      </c>
      <c r="E178">
        <v>37.700000000000003</v>
      </c>
      <c r="F178">
        <v>3.49</v>
      </c>
      <c r="L178" s="47"/>
    </row>
    <row r="179" spans="2:12" x14ac:dyDescent="0.25">
      <c r="B179">
        <v>1225</v>
      </c>
      <c r="C179">
        <v>62</v>
      </c>
      <c r="D179">
        <v>95</v>
      </c>
      <c r="E179">
        <v>37</v>
      </c>
      <c r="F179">
        <v>3.47</v>
      </c>
      <c r="L179" s="47"/>
    </row>
    <row r="180" spans="2:12" x14ac:dyDescent="0.25">
      <c r="B180">
        <v>1225</v>
      </c>
      <c r="C180">
        <v>57</v>
      </c>
      <c r="D180">
        <v>95</v>
      </c>
      <c r="E180">
        <v>36.6</v>
      </c>
      <c r="F180">
        <v>3.46</v>
      </c>
    </row>
    <row r="181" spans="2:12" x14ac:dyDescent="0.25">
      <c r="B181">
        <v>800</v>
      </c>
      <c r="C181">
        <v>72</v>
      </c>
      <c r="D181">
        <v>105</v>
      </c>
      <c r="E181">
        <v>38.799999999999997</v>
      </c>
      <c r="F181">
        <v>3.76</v>
      </c>
    </row>
    <row r="182" spans="2:12" x14ac:dyDescent="0.25">
      <c r="B182">
        <v>800</v>
      </c>
      <c r="C182">
        <v>67</v>
      </c>
      <c r="D182">
        <v>105</v>
      </c>
      <c r="E182">
        <v>34.9</v>
      </c>
      <c r="F182">
        <v>3.62</v>
      </c>
    </row>
    <row r="183" spans="2:12" x14ac:dyDescent="0.25">
      <c r="B183">
        <v>800</v>
      </c>
      <c r="C183">
        <v>63</v>
      </c>
      <c r="D183">
        <v>105</v>
      </c>
      <c r="E183">
        <v>32.200000000000003</v>
      </c>
      <c r="F183">
        <v>3.52</v>
      </c>
    </row>
    <row r="184" spans="2:12" x14ac:dyDescent="0.25">
      <c r="B184">
        <v>800</v>
      </c>
      <c r="C184">
        <v>62</v>
      </c>
      <c r="D184">
        <v>105</v>
      </c>
      <c r="E184">
        <v>31.5</v>
      </c>
      <c r="F184">
        <v>3.49</v>
      </c>
    </row>
    <row r="185" spans="2:12" x14ac:dyDescent="0.25">
      <c r="B185">
        <v>800</v>
      </c>
      <c r="C185">
        <v>57</v>
      </c>
      <c r="D185">
        <v>105</v>
      </c>
      <c r="E185">
        <v>29.4</v>
      </c>
      <c r="F185">
        <v>3.4</v>
      </c>
    </row>
    <row r="186" spans="2:12" x14ac:dyDescent="0.25">
      <c r="B186">
        <v>900</v>
      </c>
      <c r="C186">
        <v>72</v>
      </c>
      <c r="D186">
        <v>105</v>
      </c>
      <c r="E186">
        <v>39.9</v>
      </c>
      <c r="F186">
        <v>3.81</v>
      </c>
    </row>
    <row r="187" spans="2:12" x14ac:dyDescent="0.25">
      <c r="B187">
        <v>900</v>
      </c>
      <c r="C187">
        <v>67</v>
      </c>
      <c r="D187">
        <v>105</v>
      </c>
      <c r="E187">
        <v>36</v>
      </c>
      <c r="F187">
        <v>3.68</v>
      </c>
    </row>
    <row r="188" spans="2:12" x14ac:dyDescent="0.25">
      <c r="B188">
        <v>900</v>
      </c>
      <c r="C188">
        <v>63</v>
      </c>
      <c r="D188">
        <v>105</v>
      </c>
      <c r="E188">
        <v>33.200000000000003</v>
      </c>
      <c r="F188">
        <v>3.57</v>
      </c>
    </row>
    <row r="189" spans="2:12" x14ac:dyDescent="0.25">
      <c r="B189">
        <v>900</v>
      </c>
      <c r="C189">
        <v>62</v>
      </c>
      <c r="D189">
        <v>105</v>
      </c>
      <c r="E189">
        <v>32.4</v>
      </c>
      <c r="F189">
        <v>3.54</v>
      </c>
    </row>
    <row r="190" spans="2:12" x14ac:dyDescent="0.25">
      <c r="B190">
        <v>900</v>
      </c>
      <c r="C190">
        <v>57</v>
      </c>
      <c r="D190">
        <v>105</v>
      </c>
      <c r="E190">
        <v>30.9</v>
      </c>
      <c r="F190">
        <v>3.48</v>
      </c>
    </row>
    <row r="191" spans="2:12" x14ac:dyDescent="0.25">
      <c r="B191">
        <v>990</v>
      </c>
      <c r="C191">
        <v>72</v>
      </c>
      <c r="D191">
        <v>105</v>
      </c>
      <c r="E191">
        <v>40.6</v>
      </c>
      <c r="F191">
        <v>3.86</v>
      </c>
    </row>
    <row r="192" spans="2:12" x14ac:dyDescent="0.25">
      <c r="B192">
        <v>990</v>
      </c>
      <c r="C192">
        <v>67</v>
      </c>
      <c r="D192">
        <v>105</v>
      </c>
      <c r="E192">
        <v>36.700000000000003</v>
      </c>
      <c r="F192">
        <v>3.72</v>
      </c>
    </row>
    <row r="193" spans="2:6" x14ac:dyDescent="0.25">
      <c r="B193">
        <v>990</v>
      </c>
      <c r="C193">
        <v>63</v>
      </c>
      <c r="D193">
        <v>105</v>
      </c>
      <c r="E193">
        <v>33.9</v>
      </c>
      <c r="F193">
        <v>3.61</v>
      </c>
    </row>
    <row r="194" spans="2:6" x14ac:dyDescent="0.25">
      <c r="B194">
        <v>990</v>
      </c>
      <c r="C194">
        <v>62</v>
      </c>
      <c r="D194">
        <v>105</v>
      </c>
      <c r="E194">
        <v>33.200000000000003</v>
      </c>
      <c r="F194">
        <v>3.58</v>
      </c>
    </row>
    <row r="195" spans="2:6" x14ac:dyDescent="0.25">
      <c r="B195">
        <v>990</v>
      </c>
      <c r="C195">
        <v>57</v>
      </c>
      <c r="D195">
        <v>105</v>
      </c>
      <c r="E195">
        <v>32.1</v>
      </c>
      <c r="F195">
        <v>3.54</v>
      </c>
    </row>
    <row r="196" spans="2:6" x14ac:dyDescent="0.25">
      <c r="B196">
        <v>1100</v>
      </c>
      <c r="C196">
        <v>72</v>
      </c>
      <c r="D196">
        <v>105</v>
      </c>
      <c r="E196">
        <v>41.4</v>
      </c>
      <c r="F196">
        <v>3.9</v>
      </c>
    </row>
    <row r="197" spans="2:6" x14ac:dyDescent="0.25">
      <c r="B197">
        <v>1100</v>
      </c>
      <c r="C197">
        <v>67</v>
      </c>
      <c r="D197">
        <v>105</v>
      </c>
      <c r="E197">
        <v>37.5</v>
      </c>
      <c r="F197">
        <v>3.76</v>
      </c>
    </row>
    <row r="198" spans="2:6" x14ac:dyDescent="0.25">
      <c r="B198">
        <v>1100</v>
      </c>
      <c r="C198">
        <v>63</v>
      </c>
      <c r="D198">
        <v>105</v>
      </c>
      <c r="E198">
        <v>34.5</v>
      </c>
      <c r="F198">
        <v>3.65</v>
      </c>
    </row>
    <row r="199" spans="2:6" x14ac:dyDescent="0.25">
      <c r="B199">
        <v>1100</v>
      </c>
      <c r="C199">
        <v>62</v>
      </c>
      <c r="D199">
        <v>105</v>
      </c>
      <c r="E199">
        <v>33.9</v>
      </c>
      <c r="F199">
        <v>3.63</v>
      </c>
    </row>
    <row r="200" spans="2:6" x14ac:dyDescent="0.25">
      <c r="B200">
        <v>1100</v>
      </c>
      <c r="C200">
        <v>57</v>
      </c>
      <c r="D200">
        <v>105</v>
      </c>
      <c r="E200">
        <v>33.4</v>
      </c>
      <c r="F200">
        <v>3.61</v>
      </c>
    </row>
    <row r="201" spans="2:6" x14ac:dyDescent="0.25">
      <c r="B201">
        <v>1225</v>
      </c>
      <c r="C201">
        <v>72</v>
      </c>
      <c r="D201">
        <v>105</v>
      </c>
      <c r="E201">
        <v>42.2</v>
      </c>
      <c r="F201">
        <v>3.94</v>
      </c>
    </row>
    <row r="202" spans="2:6" x14ac:dyDescent="0.25">
      <c r="B202">
        <v>1225</v>
      </c>
      <c r="C202">
        <v>67</v>
      </c>
      <c r="D202">
        <v>105</v>
      </c>
      <c r="E202">
        <v>38.1</v>
      </c>
      <c r="F202">
        <v>3.81</v>
      </c>
    </row>
    <row r="203" spans="2:6" x14ac:dyDescent="0.25">
      <c r="B203">
        <v>1225</v>
      </c>
      <c r="C203">
        <v>63</v>
      </c>
      <c r="D203">
        <v>105</v>
      </c>
      <c r="E203">
        <v>35.200000000000003</v>
      </c>
      <c r="F203">
        <v>3.7</v>
      </c>
    </row>
    <row r="204" spans="2:6" x14ac:dyDescent="0.25">
      <c r="B204">
        <v>1225</v>
      </c>
      <c r="C204">
        <v>62</v>
      </c>
      <c r="D204">
        <v>105</v>
      </c>
      <c r="E204">
        <v>34.700000000000003</v>
      </c>
      <c r="F204">
        <v>3.68</v>
      </c>
    </row>
    <row r="205" spans="2:6" x14ac:dyDescent="0.25">
      <c r="B205">
        <v>1225</v>
      </c>
      <c r="C205">
        <v>57</v>
      </c>
      <c r="D205">
        <v>105</v>
      </c>
      <c r="E205">
        <v>34.700000000000003</v>
      </c>
      <c r="F205">
        <v>3.68</v>
      </c>
    </row>
    <row r="206" spans="2:6" x14ac:dyDescent="0.25">
      <c r="B206">
        <v>800</v>
      </c>
      <c r="C206">
        <v>72</v>
      </c>
      <c r="D206">
        <v>115</v>
      </c>
      <c r="E206">
        <v>36.299999999999997</v>
      </c>
      <c r="F206">
        <v>3.99</v>
      </c>
    </row>
    <row r="207" spans="2:6" x14ac:dyDescent="0.25">
      <c r="B207">
        <v>800</v>
      </c>
      <c r="C207">
        <v>67</v>
      </c>
      <c r="D207">
        <v>115</v>
      </c>
      <c r="E207">
        <v>32.700000000000003</v>
      </c>
      <c r="F207">
        <v>3.83</v>
      </c>
    </row>
    <row r="208" spans="2:6" x14ac:dyDescent="0.25">
      <c r="B208">
        <v>800</v>
      </c>
      <c r="C208">
        <v>63</v>
      </c>
      <c r="D208">
        <v>115</v>
      </c>
      <c r="E208">
        <v>30.1</v>
      </c>
      <c r="F208">
        <v>3.7</v>
      </c>
    </row>
    <row r="209" spans="2:7" x14ac:dyDescent="0.25">
      <c r="B209">
        <v>800</v>
      </c>
      <c r="C209">
        <v>62</v>
      </c>
      <c r="D209">
        <v>115</v>
      </c>
      <c r="E209">
        <v>29.4</v>
      </c>
      <c r="F209">
        <v>3.67</v>
      </c>
    </row>
    <row r="210" spans="2:7" x14ac:dyDescent="0.25">
      <c r="B210">
        <v>800</v>
      </c>
      <c r="C210">
        <v>57</v>
      </c>
      <c r="D210">
        <v>115</v>
      </c>
      <c r="E210">
        <v>27.8</v>
      </c>
      <c r="F210">
        <v>3.6</v>
      </c>
    </row>
    <row r="211" spans="2:7" x14ac:dyDescent="0.25">
      <c r="B211">
        <v>900</v>
      </c>
      <c r="C211">
        <v>72</v>
      </c>
      <c r="D211">
        <v>115</v>
      </c>
      <c r="E211">
        <v>37.299999999999997</v>
      </c>
      <c r="F211">
        <v>4.04</v>
      </c>
    </row>
    <row r="212" spans="2:7" x14ac:dyDescent="0.25">
      <c r="B212">
        <v>900</v>
      </c>
      <c r="C212">
        <v>67</v>
      </c>
      <c r="D212">
        <v>115</v>
      </c>
      <c r="E212">
        <v>33.6</v>
      </c>
      <c r="F212">
        <v>3.88</v>
      </c>
    </row>
    <row r="213" spans="2:7" x14ac:dyDescent="0.25">
      <c r="B213">
        <v>900</v>
      </c>
      <c r="C213">
        <v>63</v>
      </c>
      <c r="D213">
        <v>115</v>
      </c>
      <c r="E213">
        <v>30.9</v>
      </c>
      <c r="F213">
        <v>3.76</v>
      </c>
    </row>
    <row r="214" spans="2:7" x14ac:dyDescent="0.25">
      <c r="B214">
        <v>900</v>
      </c>
      <c r="C214">
        <v>62</v>
      </c>
      <c r="D214">
        <v>115</v>
      </c>
      <c r="E214">
        <v>30.2</v>
      </c>
      <c r="F214">
        <v>3.73</v>
      </c>
    </row>
    <row r="215" spans="2:7" x14ac:dyDescent="0.25">
      <c r="B215">
        <v>900</v>
      </c>
      <c r="C215">
        <v>57</v>
      </c>
      <c r="D215">
        <v>115</v>
      </c>
      <c r="E215">
        <v>29.2</v>
      </c>
      <c r="F215">
        <v>3.68</v>
      </c>
    </row>
    <row r="216" spans="2:7" x14ac:dyDescent="0.25">
      <c r="B216">
        <v>990</v>
      </c>
      <c r="C216">
        <v>72</v>
      </c>
      <c r="D216">
        <v>115</v>
      </c>
      <c r="E216">
        <v>37.9</v>
      </c>
      <c r="F216">
        <v>4.08</v>
      </c>
    </row>
    <row r="217" spans="2:7" x14ac:dyDescent="0.25">
      <c r="B217">
        <v>990</v>
      </c>
      <c r="C217">
        <v>67</v>
      </c>
      <c r="D217">
        <v>115</v>
      </c>
      <c r="E217">
        <v>34.200000000000003</v>
      </c>
      <c r="F217">
        <v>3.92</v>
      </c>
    </row>
    <row r="218" spans="2:7" x14ac:dyDescent="0.25">
      <c r="B218">
        <v>990</v>
      </c>
      <c r="C218">
        <v>63</v>
      </c>
      <c r="D218">
        <v>115</v>
      </c>
      <c r="E218">
        <v>31.5</v>
      </c>
      <c r="F218">
        <v>3.8</v>
      </c>
    </row>
    <row r="221" spans="2:7" ht="18.75" x14ac:dyDescent="0.3">
      <c r="B221" s="36" t="s">
        <v>31</v>
      </c>
      <c r="C221" s="36"/>
    </row>
    <row r="222" spans="2:7" x14ac:dyDescent="0.25">
      <c r="B222" s="37" t="s">
        <v>32</v>
      </c>
      <c r="C222" s="39"/>
      <c r="D222" s="39"/>
    </row>
    <row r="223" spans="2:7" x14ac:dyDescent="0.25">
      <c r="B223" s="37" t="s">
        <v>33</v>
      </c>
      <c r="C223" s="39"/>
      <c r="D223" s="39"/>
      <c r="E223" s="39"/>
      <c r="F223" s="39"/>
      <c r="G223" s="39"/>
    </row>
    <row r="239" spans="15:19" x14ac:dyDescent="0.25">
      <c r="O239" s="37" t="s">
        <v>34</v>
      </c>
      <c r="P239" s="39"/>
      <c r="Q239" s="39"/>
      <c r="R239" s="43">
        <f>250</f>
        <v>250</v>
      </c>
      <c r="S239" t="s">
        <v>20</v>
      </c>
    </row>
    <row r="241" spans="2:21" x14ac:dyDescent="0.25">
      <c r="B241" s="37" t="s">
        <v>23</v>
      </c>
      <c r="C241" s="37"/>
      <c r="D241" s="37"/>
      <c r="E241" s="37"/>
      <c r="H241" s="37" t="s">
        <v>35</v>
      </c>
      <c r="I241" s="37"/>
      <c r="J241" s="37"/>
      <c r="K241" s="37"/>
      <c r="L241" s="37"/>
      <c r="M241" s="37"/>
      <c r="O241" s="37" t="s">
        <v>22</v>
      </c>
      <c r="P241" s="37"/>
      <c r="Q241" s="37"/>
      <c r="R241" s="37"/>
      <c r="S241" s="37"/>
      <c r="T241" s="37"/>
      <c r="U241" s="37"/>
    </row>
    <row r="242" spans="2:21" x14ac:dyDescent="0.25">
      <c r="H242" s="37" t="s">
        <v>36</v>
      </c>
      <c r="I242" s="37"/>
      <c r="J242" s="37"/>
      <c r="K242" s="37"/>
      <c r="L242" s="37"/>
      <c r="M242" s="37"/>
      <c r="O242" s="37" t="s">
        <v>25</v>
      </c>
      <c r="P242" s="37"/>
      <c r="Q242" s="37"/>
      <c r="R242" s="37"/>
      <c r="S242" s="37"/>
      <c r="T242" s="37"/>
    </row>
    <row r="243" spans="2:21" ht="15.75" thickBot="1" x14ac:dyDescent="0.3">
      <c r="B243" s="48" t="s">
        <v>53</v>
      </c>
      <c r="C243" s="48" t="s">
        <v>47</v>
      </c>
      <c r="D243" s="48" t="s">
        <v>27</v>
      </c>
      <c r="E243" s="48" t="s">
        <v>51</v>
      </c>
      <c r="F243" s="48" t="s">
        <v>57</v>
      </c>
      <c r="H243" s="48" t="s">
        <v>53</v>
      </c>
      <c r="I243" s="48" t="s">
        <v>47</v>
      </c>
      <c r="J243" s="48" t="s">
        <v>51</v>
      </c>
      <c r="K243" s="48" t="s">
        <v>58</v>
      </c>
      <c r="L243" s="48" t="s">
        <v>57</v>
      </c>
      <c r="O243" s="48" t="s">
        <v>53</v>
      </c>
      <c r="P243" s="48" t="s">
        <v>47</v>
      </c>
      <c r="Q243" s="48" t="s">
        <v>27</v>
      </c>
      <c r="R243" s="48" t="s">
        <v>55</v>
      </c>
      <c r="S243" s="48" t="s">
        <v>58</v>
      </c>
      <c r="T243" s="48" t="s">
        <v>57</v>
      </c>
    </row>
    <row r="244" spans="2:21" ht="15.75" thickTop="1" x14ac:dyDescent="0.25">
      <c r="B244" s="42">
        <v>63</v>
      </c>
      <c r="C244">
        <f>85</f>
        <v>85</v>
      </c>
      <c r="D244">
        <v>960</v>
      </c>
      <c r="E244">
        <v>35.200000000000003</v>
      </c>
      <c r="F244">
        <v>2.2599999999999998</v>
      </c>
      <c r="H244" s="42">
        <v>63</v>
      </c>
      <c r="I244" s="42">
        <v>85</v>
      </c>
      <c r="J244" s="43">
        <v>36.700000000000003</v>
      </c>
      <c r="K244" s="42">
        <v>2.27</v>
      </c>
      <c r="L244" s="49">
        <f>$K244+$R$239/1000</f>
        <v>2.52</v>
      </c>
      <c r="O244" s="42">
        <v>67</v>
      </c>
      <c r="P244" s="42">
        <v>95</v>
      </c>
      <c r="Q244" s="42">
        <v>960</v>
      </c>
      <c r="R244" s="44">
        <v>35.799999999999997</v>
      </c>
      <c r="S244" s="44">
        <v>2.58</v>
      </c>
      <c r="T244" s="49">
        <f>$S244+$R$239/1000</f>
        <v>2.83</v>
      </c>
    </row>
    <row r="245" spans="2:21" x14ac:dyDescent="0.25">
      <c r="B245" s="42">
        <v>63</v>
      </c>
      <c r="C245">
        <f>85</f>
        <v>85</v>
      </c>
      <c r="D245">
        <v>1200</v>
      </c>
      <c r="E245">
        <v>36.700000000000003</v>
      </c>
      <c r="F245">
        <v>2.27</v>
      </c>
      <c r="H245" s="42">
        <v>67</v>
      </c>
      <c r="I245" s="42">
        <v>85</v>
      </c>
      <c r="J245" s="43">
        <v>39</v>
      </c>
      <c r="K245" s="42">
        <v>2.2799999999999998</v>
      </c>
      <c r="L245" s="49">
        <f t="shared" ref="L245:L255" si="26">$K245+$R$239/1000</f>
        <v>2.5299999999999998</v>
      </c>
      <c r="O245" s="42">
        <v>67</v>
      </c>
      <c r="P245" s="42">
        <v>95</v>
      </c>
      <c r="Q245" s="42">
        <v>1200</v>
      </c>
      <c r="R245" s="44">
        <v>37.1</v>
      </c>
      <c r="S245" s="44">
        <v>2.59</v>
      </c>
      <c r="T245" s="49">
        <f t="shared" ref="T245:T246" si="27">$S245+$R$239/1000</f>
        <v>2.84</v>
      </c>
    </row>
    <row r="246" spans="2:21" x14ac:dyDescent="0.25">
      <c r="B246" s="42">
        <v>63</v>
      </c>
      <c r="C246">
        <f>85</f>
        <v>85</v>
      </c>
      <c r="D246">
        <v>1440</v>
      </c>
      <c r="E246">
        <v>37.9</v>
      </c>
      <c r="F246">
        <v>2.2799999999999998</v>
      </c>
      <c r="H246" s="42">
        <v>71</v>
      </c>
      <c r="I246" s="42">
        <v>85</v>
      </c>
      <c r="J246" s="43">
        <v>41.5</v>
      </c>
      <c r="K246" s="42">
        <v>2.31</v>
      </c>
      <c r="L246" s="49">
        <f t="shared" si="26"/>
        <v>2.56</v>
      </c>
      <c r="O246" s="42">
        <v>67</v>
      </c>
      <c r="P246" s="42">
        <v>95</v>
      </c>
      <c r="Q246" s="42">
        <v>1440</v>
      </c>
      <c r="R246" s="44">
        <v>37.9</v>
      </c>
      <c r="S246" s="44">
        <v>2.6</v>
      </c>
      <c r="T246" s="49">
        <f t="shared" si="27"/>
        <v>2.85</v>
      </c>
    </row>
    <row r="247" spans="2:21" x14ac:dyDescent="0.25">
      <c r="B247" s="42">
        <v>67</v>
      </c>
      <c r="C247">
        <f>85</f>
        <v>85</v>
      </c>
      <c r="D247">
        <v>960</v>
      </c>
      <c r="E247">
        <v>37.6</v>
      </c>
      <c r="F247">
        <v>2.2799999999999998</v>
      </c>
      <c r="H247" s="42">
        <v>63</v>
      </c>
      <c r="I247" s="42">
        <v>95</v>
      </c>
      <c r="J247" s="43">
        <v>34.9</v>
      </c>
      <c r="K247" s="42">
        <v>2.58</v>
      </c>
      <c r="L247" s="49">
        <f t="shared" si="26"/>
        <v>2.83</v>
      </c>
      <c r="S247" s="51"/>
    </row>
    <row r="248" spans="2:21" x14ac:dyDescent="0.25">
      <c r="B248" s="42">
        <v>67</v>
      </c>
      <c r="C248">
        <f>85</f>
        <v>85</v>
      </c>
      <c r="D248">
        <v>1200</v>
      </c>
      <c r="E248">
        <v>39</v>
      </c>
      <c r="F248">
        <v>2.2799999999999998</v>
      </c>
      <c r="H248" s="42">
        <v>67</v>
      </c>
      <c r="I248" s="42">
        <v>95</v>
      </c>
      <c r="J248" s="43">
        <v>37.1</v>
      </c>
      <c r="K248" s="42">
        <v>2.59</v>
      </c>
      <c r="L248" s="49">
        <f t="shared" si="26"/>
        <v>2.84</v>
      </c>
      <c r="S248" s="51"/>
    </row>
    <row r="249" spans="2:21" x14ac:dyDescent="0.25">
      <c r="B249" s="42">
        <v>67</v>
      </c>
      <c r="C249">
        <f>85</f>
        <v>85</v>
      </c>
      <c r="D249">
        <v>1440</v>
      </c>
      <c r="E249">
        <v>39.9</v>
      </c>
      <c r="F249">
        <v>2.29</v>
      </c>
      <c r="H249" s="42">
        <v>71</v>
      </c>
      <c r="I249" s="42">
        <v>95</v>
      </c>
      <c r="J249" s="43">
        <v>39.5</v>
      </c>
      <c r="K249" s="42">
        <v>2.62</v>
      </c>
      <c r="L249" s="49">
        <f t="shared" si="26"/>
        <v>2.87</v>
      </c>
      <c r="Q249" s="73" t="s">
        <v>28</v>
      </c>
      <c r="R249" s="73"/>
      <c r="S249" s="73"/>
    </row>
    <row r="250" spans="2:21" x14ac:dyDescent="0.25">
      <c r="B250" s="42">
        <v>71</v>
      </c>
      <c r="C250">
        <f>85</f>
        <v>85</v>
      </c>
      <c r="D250">
        <v>960</v>
      </c>
      <c r="E250">
        <v>40.200000000000003</v>
      </c>
      <c r="F250">
        <v>2.2999999999999998</v>
      </c>
      <c r="H250" s="42">
        <v>63</v>
      </c>
      <c r="I250" s="42">
        <v>105</v>
      </c>
      <c r="J250" s="43">
        <v>33.1</v>
      </c>
      <c r="K250" s="42">
        <v>2.93</v>
      </c>
      <c r="L250" s="49">
        <f t="shared" si="26"/>
        <v>3.18</v>
      </c>
      <c r="Q250" s="71" t="s">
        <v>29</v>
      </c>
      <c r="R250" s="71"/>
      <c r="S250" s="71"/>
    </row>
    <row r="251" spans="2:21" x14ac:dyDescent="0.25">
      <c r="B251" s="42">
        <v>71</v>
      </c>
      <c r="C251">
        <f>85</f>
        <v>85</v>
      </c>
      <c r="D251">
        <v>1200</v>
      </c>
      <c r="E251">
        <v>41.5</v>
      </c>
      <c r="F251">
        <v>2.31</v>
      </c>
      <c r="H251" s="42">
        <v>67</v>
      </c>
      <c r="I251" s="42">
        <v>105</v>
      </c>
      <c r="J251" s="43">
        <v>35</v>
      </c>
      <c r="K251" s="42">
        <v>2.94</v>
      </c>
      <c r="L251" s="49">
        <f t="shared" si="26"/>
        <v>3.19</v>
      </c>
      <c r="Q251" s="72"/>
      <c r="R251" s="72"/>
      <c r="S251" s="72"/>
    </row>
    <row r="252" spans="2:21" ht="15.75" thickBot="1" x14ac:dyDescent="0.3">
      <c r="B252" s="42">
        <v>71</v>
      </c>
      <c r="C252">
        <f>85</f>
        <v>85</v>
      </c>
      <c r="D252">
        <v>1440</v>
      </c>
      <c r="E252">
        <v>42.4</v>
      </c>
      <c r="F252">
        <v>2.31</v>
      </c>
      <c r="H252" s="42">
        <v>71</v>
      </c>
      <c r="I252" s="42">
        <v>105</v>
      </c>
      <c r="J252" s="43">
        <v>37.4</v>
      </c>
      <c r="K252" s="42">
        <v>2.97</v>
      </c>
      <c r="L252" s="49">
        <f t="shared" si="26"/>
        <v>3.22</v>
      </c>
      <c r="Q252" s="54" t="s">
        <v>59</v>
      </c>
      <c r="R252" s="54" t="s">
        <v>54</v>
      </c>
      <c r="S252" s="54" t="s">
        <v>57</v>
      </c>
    </row>
    <row r="253" spans="2:21" ht="15.75" thickTop="1" x14ac:dyDescent="0.25">
      <c r="B253" s="42">
        <v>63</v>
      </c>
      <c r="C253">
        <v>95</v>
      </c>
      <c r="D253">
        <v>960</v>
      </c>
      <c r="E253">
        <v>33.6</v>
      </c>
      <c r="F253">
        <v>2.57</v>
      </c>
      <c r="H253" s="42">
        <v>63</v>
      </c>
      <c r="I253" s="42">
        <v>115</v>
      </c>
      <c r="J253" s="43">
        <v>31.2</v>
      </c>
      <c r="K253" s="42">
        <v>3.34</v>
      </c>
      <c r="L253" s="49">
        <f t="shared" si="26"/>
        <v>3.59</v>
      </c>
      <c r="Q253" s="49">
        <f t="shared" ref="Q253:R255" si="28">Q244</f>
        <v>960</v>
      </c>
      <c r="R253" s="49">
        <f t="shared" si="28"/>
        <v>35.799999999999997</v>
      </c>
      <c r="S253" s="49">
        <f>T244</f>
        <v>2.83</v>
      </c>
    </row>
    <row r="254" spans="2:21" x14ac:dyDescent="0.25">
      <c r="B254" s="42">
        <v>63</v>
      </c>
      <c r="C254">
        <v>95</v>
      </c>
      <c r="D254">
        <v>1200</v>
      </c>
      <c r="E254">
        <v>34.9</v>
      </c>
      <c r="F254">
        <v>2.58</v>
      </c>
      <c r="H254" s="42">
        <v>67</v>
      </c>
      <c r="I254" s="42">
        <v>115</v>
      </c>
      <c r="J254" s="43">
        <v>32.799999999999997</v>
      </c>
      <c r="K254" s="42">
        <v>3.35</v>
      </c>
      <c r="L254" s="49">
        <f t="shared" si="26"/>
        <v>3.6</v>
      </c>
      <c r="Q254" s="49">
        <f t="shared" si="28"/>
        <v>1200</v>
      </c>
      <c r="R254" s="49">
        <f t="shared" si="28"/>
        <v>37.1</v>
      </c>
      <c r="S254" s="49">
        <f>T245</f>
        <v>2.84</v>
      </c>
    </row>
    <row r="255" spans="2:21" x14ac:dyDescent="0.25">
      <c r="B255" s="42">
        <v>63</v>
      </c>
      <c r="C255">
        <v>95</v>
      </c>
      <c r="D255">
        <v>1440</v>
      </c>
      <c r="E255">
        <v>36.299999999999997</v>
      </c>
      <c r="F255">
        <v>2.59</v>
      </c>
      <c r="H255" s="42">
        <v>71</v>
      </c>
      <c r="I255" s="42">
        <v>115</v>
      </c>
      <c r="J255" s="43">
        <v>35</v>
      </c>
      <c r="K255" s="42">
        <v>3.37</v>
      </c>
      <c r="L255" s="49">
        <f t="shared" si="26"/>
        <v>3.62</v>
      </c>
      <c r="Q255" s="49">
        <f t="shared" si="28"/>
        <v>1440</v>
      </c>
      <c r="R255" s="49">
        <f t="shared" si="28"/>
        <v>37.9</v>
      </c>
      <c r="S255" s="49">
        <f>T246</f>
        <v>2.85</v>
      </c>
    </row>
    <row r="256" spans="2:21" x14ac:dyDescent="0.25">
      <c r="B256" s="42">
        <v>67</v>
      </c>
      <c r="C256">
        <v>95</v>
      </c>
      <c r="D256">
        <v>960</v>
      </c>
      <c r="E256">
        <v>35.799999999999997</v>
      </c>
      <c r="F256">
        <v>2.58</v>
      </c>
    </row>
    <row r="257" spans="2:12" x14ac:dyDescent="0.25">
      <c r="B257" s="42">
        <v>67</v>
      </c>
      <c r="C257">
        <v>95</v>
      </c>
      <c r="D257">
        <v>1200</v>
      </c>
      <c r="E257">
        <v>37.1</v>
      </c>
      <c r="F257">
        <v>2.59</v>
      </c>
    </row>
    <row r="258" spans="2:12" x14ac:dyDescent="0.25">
      <c r="B258" s="42">
        <v>67</v>
      </c>
      <c r="C258">
        <v>95</v>
      </c>
      <c r="D258">
        <v>1440</v>
      </c>
      <c r="E258">
        <v>37.9</v>
      </c>
      <c r="F258">
        <v>2.6</v>
      </c>
      <c r="I258" s="73" t="s">
        <v>28</v>
      </c>
      <c r="J258" s="73"/>
      <c r="K258" s="73"/>
      <c r="L258" s="73"/>
    </row>
    <row r="259" spans="2:12" x14ac:dyDescent="0.25">
      <c r="B259" s="42">
        <v>71</v>
      </c>
      <c r="C259">
        <v>95</v>
      </c>
      <c r="D259">
        <v>960</v>
      </c>
      <c r="E259">
        <v>38.299999999999997</v>
      </c>
      <c r="F259">
        <v>2.61</v>
      </c>
      <c r="I259" s="71" t="s">
        <v>30</v>
      </c>
      <c r="J259" s="71"/>
      <c r="K259" s="71"/>
      <c r="L259" s="71"/>
    </row>
    <row r="260" spans="2:12" x14ac:dyDescent="0.25">
      <c r="B260" s="42">
        <v>71</v>
      </c>
      <c r="C260">
        <v>95</v>
      </c>
      <c r="D260">
        <v>1200</v>
      </c>
      <c r="E260">
        <v>39.5</v>
      </c>
      <c r="F260">
        <v>2.62</v>
      </c>
      <c r="I260" s="72"/>
      <c r="J260" s="72"/>
      <c r="K260" s="72"/>
      <c r="L260" s="72"/>
    </row>
    <row r="261" spans="2:12" ht="15.75" thickBot="1" x14ac:dyDescent="0.3">
      <c r="B261" s="42">
        <v>71</v>
      </c>
      <c r="C261">
        <v>95</v>
      </c>
      <c r="D261">
        <v>1440</v>
      </c>
      <c r="E261">
        <v>40.299999999999997</v>
      </c>
      <c r="F261">
        <v>2.62</v>
      </c>
      <c r="I261" s="54" t="s">
        <v>53</v>
      </c>
      <c r="J261" s="54" t="s">
        <v>47</v>
      </c>
      <c r="K261" s="54" t="s">
        <v>55</v>
      </c>
      <c r="L261" s="54" t="s">
        <v>57</v>
      </c>
    </row>
    <row r="262" spans="2:12" ht="15.75" thickTop="1" x14ac:dyDescent="0.25">
      <c r="B262" s="42">
        <v>63</v>
      </c>
      <c r="C262">
        <f>105</f>
        <v>105</v>
      </c>
      <c r="D262">
        <v>960</v>
      </c>
      <c r="E262">
        <v>31.7</v>
      </c>
      <c r="F262">
        <v>2.92</v>
      </c>
      <c r="I262" s="49">
        <f t="shared" ref="I262:K273" si="29">H244</f>
        <v>63</v>
      </c>
      <c r="J262" s="49">
        <f t="shared" si="29"/>
        <v>85</v>
      </c>
      <c r="K262" s="65">
        <f>J244</f>
        <v>36.700000000000003</v>
      </c>
      <c r="L262" s="49">
        <f>L244</f>
        <v>2.52</v>
      </c>
    </row>
    <row r="263" spans="2:12" x14ac:dyDescent="0.25">
      <c r="B263" s="42">
        <v>63</v>
      </c>
      <c r="C263">
        <f>105</f>
        <v>105</v>
      </c>
      <c r="D263">
        <v>1200</v>
      </c>
      <c r="E263">
        <v>33.1</v>
      </c>
      <c r="F263">
        <v>2.93</v>
      </c>
      <c r="I263" s="49">
        <f t="shared" si="29"/>
        <v>67</v>
      </c>
      <c r="J263" s="49">
        <f t="shared" si="29"/>
        <v>85</v>
      </c>
      <c r="K263" s="65">
        <f t="shared" si="29"/>
        <v>39</v>
      </c>
      <c r="L263" s="49">
        <f t="shared" ref="L263:L273" si="30">L245</f>
        <v>2.5299999999999998</v>
      </c>
    </row>
    <row r="264" spans="2:12" x14ac:dyDescent="0.25">
      <c r="B264" s="42">
        <v>63</v>
      </c>
      <c r="C264">
        <f>105</f>
        <v>105</v>
      </c>
      <c r="D264">
        <v>1440</v>
      </c>
      <c r="E264">
        <v>34.6</v>
      </c>
      <c r="F264">
        <v>2.94</v>
      </c>
      <c r="I264" s="49">
        <f t="shared" si="29"/>
        <v>71</v>
      </c>
      <c r="J264" s="49">
        <f t="shared" si="29"/>
        <v>85</v>
      </c>
      <c r="K264" s="65">
        <f t="shared" si="29"/>
        <v>41.5</v>
      </c>
      <c r="L264" s="49">
        <f t="shared" si="30"/>
        <v>2.56</v>
      </c>
    </row>
    <row r="265" spans="2:12" x14ac:dyDescent="0.25">
      <c r="B265" s="42">
        <v>67</v>
      </c>
      <c r="C265">
        <f>105</f>
        <v>105</v>
      </c>
      <c r="D265">
        <v>960</v>
      </c>
      <c r="E265">
        <v>33.9</v>
      </c>
      <c r="F265">
        <v>2.93</v>
      </c>
      <c r="I265" s="49">
        <f t="shared" si="29"/>
        <v>63</v>
      </c>
      <c r="J265" s="49">
        <f t="shared" si="29"/>
        <v>95</v>
      </c>
      <c r="K265" s="65">
        <f t="shared" si="29"/>
        <v>34.9</v>
      </c>
      <c r="L265" s="49">
        <f t="shared" si="30"/>
        <v>2.83</v>
      </c>
    </row>
    <row r="266" spans="2:12" x14ac:dyDescent="0.25">
      <c r="B266" s="42">
        <v>67</v>
      </c>
      <c r="C266">
        <f>105</f>
        <v>105</v>
      </c>
      <c r="D266">
        <v>1200</v>
      </c>
      <c r="E266">
        <v>35</v>
      </c>
      <c r="F266">
        <v>2.94</v>
      </c>
      <c r="I266" s="49">
        <f t="shared" si="29"/>
        <v>67</v>
      </c>
      <c r="J266" s="49">
        <f t="shared" si="29"/>
        <v>95</v>
      </c>
      <c r="K266" s="65">
        <f t="shared" si="29"/>
        <v>37.1</v>
      </c>
      <c r="L266" s="49">
        <f t="shared" si="30"/>
        <v>2.84</v>
      </c>
    </row>
    <row r="267" spans="2:12" x14ac:dyDescent="0.25">
      <c r="B267" s="42">
        <v>67</v>
      </c>
      <c r="C267">
        <f>105</f>
        <v>105</v>
      </c>
      <c r="D267">
        <v>1440</v>
      </c>
      <c r="E267">
        <v>35.799999999999997</v>
      </c>
      <c r="F267">
        <v>2.95</v>
      </c>
      <c r="I267" s="49">
        <f t="shared" si="29"/>
        <v>71</v>
      </c>
      <c r="J267" s="49">
        <f t="shared" si="29"/>
        <v>95</v>
      </c>
      <c r="K267" s="65">
        <f t="shared" si="29"/>
        <v>39.5</v>
      </c>
      <c r="L267" s="49">
        <f t="shared" si="30"/>
        <v>2.87</v>
      </c>
    </row>
    <row r="268" spans="2:12" x14ac:dyDescent="0.25">
      <c r="B268" s="42">
        <v>71</v>
      </c>
      <c r="C268">
        <f>105</f>
        <v>105</v>
      </c>
      <c r="D268">
        <v>960</v>
      </c>
      <c r="E268">
        <v>36.299999999999997</v>
      </c>
      <c r="F268">
        <v>2.96</v>
      </c>
      <c r="I268" s="49">
        <f t="shared" si="29"/>
        <v>63</v>
      </c>
      <c r="J268" s="49">
        <f t="shared" si="29"/>
        <v>105</v>
      </c>
      <c r="K268" s="65">
        <f t="shared" si="29"/>
        <v>33.1</v>
      </c>
      <c r="L268" s="49">
        <f t="shared" si="30"/>
        <v>3.18</v>
      </c>
    </row>
    <row r="269" spans="2:12" x14ac:dyDescent="0.25">
      <c r="B269" s="42">
        <v>71</v>
      </c>
      <c r="C269">
        <f>105</f>
        <v>105</v>
      </c>
      <c r="D269">
        <v>1200</v>
      </c>
      <c r="E269">
        <v>37.4</v>
      </c>
      <c r="F269">
        <v>2.97</v>
      </c>
      <c r="I269" s="49">
        <f t="shared" si="29"/>
        <v>67</v>
      </c>
      <c r="J269" s="49">
        <f t="shared" si="29"/>
        <v>105</v>
      </c>
      <c r="K269" s="65">
        <f t="shared" si="29"/>
        <v>35</v>
      </c>
      <c r="L269" s="49">
        <f t="shared" si="30"/>
        <v>3.19</v>
      </c>
    </row>
    <row r="270" spans="2:12" x14ac:dyDescent="0.25">
      <c r="B270" s="42">
        <v>71</v>
      </c>
      <c r="C270">
        <f>105</f>
        <v>105</v>
      </c>
      <c r="D270">
        <v>1440</v>
      </c>
      <c r="E270">
        <v>38.1</v>
      </c>
      <c r="F270">
        <v>2.98</v>
      </c>
      <c r="I270" s="49">
        <f t="shared" si="29"/>
        <v>71</v>
      </c>
      <c r="J270" s="49">
        <f t="shared" si="29"/>
        <v>105</v>
      </c>
      <c r="K270" s="65">
        <f t="shared" si="29"/>
        <v>37.4</v>
      </c>
      <c r="L270" s="49">
        <f t="shared" si="30"/>
        <v>3.22</v>
      </c>
    </row>
    <row r="271" spans="2:12" x14ac:dyDescent="0.25">
      <c r="B271" s="42">
        <v>63</v>
      </c>
      <c r="C271">
        <f>115</f>
        <v>115</v>
      </c>
      <c r="D271">
        <v>960</v>
      </c>
      <c r="E271">
        <v>29.8</v>
      </c>
      <c r="F271">
        <v>3.33</v>
      </c>
      <c r="I271" s="49">
        <f t="shared" si="29"/>
        <v>63</v>
      </c>
      <c r="J271" s="49">
        <f t="shared" si="29"/>
        <v>115</v>
      </c>
      <c r="K271" s="65">
        <f t="shared" si="29"/>
        <v>31.2</v>
      </c>
      <c r="L271" s="49">
        <f t="shared" si="30"/>
        <v>3.59</v>
      </c>
    </row>
    <row r="272" spans="2:12" x14ac:dyDescent="0.25">
      <c r="B272" s="42">
        <v>63</v>
      </c>
      <c r="C272">
        <f>115</f>
        <v>115</v>
      </c>
      <c r="D272">
        <v>1200</v>
      </c>
      <c r="E272">
        <v>31.2</v>
      </c>
      <c r="F272">
        <v>3.34</v>
      </c>
      <c r="I272" s="49">
        <f t="shared" si="29"/>
        <v>67</v>
      </c>
      <c r="J272" s="49">
        <f t="shared" si="29"/>
        <v>115</v>
      </c>
      <c r="K272" s="65">
        <f t="shared" si="29"/>
        <v>32.799999999999997</v>
      </c>
      <c r="L272" s="49">
        <f t="shared" si="30"/>
        <v>3.6</v>
      </c>
    </row>
    <row r="273" spans="2:12" x14ac:dyDescent="0.25">
      <c r="B273" s="42">
        <v>63</v>
      </c>
      <c r="C273">
        <f>115</f>
        <v>115</v>
      </c>
      <c r="D273">
        <v>1440</v>
      </c>
      <c r="E273">
        <v>32.700000000000003</v>
      </c>
      <c r="F273">
        <v>3.34</v>
      </c>
      <c r="I273" s="49">
        <f t="shared" si="29"/>
        <v>71</v>
      </c>
      <c r="J273" s="49">
        <f t="shared" si="29"/>
        <v>115</v>
      </c>
      <c r="K273" s="65">
        <f t="shared" si="29"/>
        <v>35</v>
      </c>
      <c r="L273" s="49">
        <f t="shared" si="30"/>
        <v>3.62</v>
      </c>
    </row>
    <row r="274" spans="2:12" x14ac:dyDescent="0.25">
      <c r="B274" s="42">
        <v>67</v>
      </c>
      <c r="C274">
        <f>115</f>
        <v>115</v>
      </c>
      <c r="D274">
        <v>960</v>
      </c>
      <c r="E274">
        <v>31.8</v>
      </c>
      <c r="F274">
        <v>3.34</v>
      </c>
    </row>
    <row r="275" spans="2:12" x14ac:dyDescent="0.25">
      <c r="B275" s="42">
        <v>67</v>
      </c>
      <c r="C275">
        <f>115</f>
        <v>115</v>
      </c>
      <c r="D275">
        <v>1200</v>
      </c>
      <c r="E275">
        <v>32.799999999999997</v>
      </c>
      <c r="F275">
        <v>3.35</v>
      </c>
    </row>
    <row r="276" spans="2:12" x14ac:dyDescent="0.25">
      <c r="B276" s="42">
        <v>67</v>
      </c>
      <c r="C276">
        <f>115</f>
        <v>115</v>
      </c>
      <c r="D276">
        <v>1440</v>
      </c>
      <c r="E276">
        <v>33.5</v>
      </c>
      <c r="F276">
        <v>3.36</v>
      </c>
    </row>
    <row r="277" spans="2:12" x14ac:dyDescent="0.25">
      <c r="B277" s="42">
        <v>71</v>
      </c>
      <c r="C277">
        <f>115</f>
        <v>115</v>
      </c>
      <c r="D277">
        <v>960</v>
      </c>
      <c r="E277">
        <v>34</v>
      </c>
      <c r="F277">
        <v>3.36</v>
      </c>
    </row>
    <row r="278" spans="2:12" x14ac:dyDescent="0.25">
      <c r="B278" s="42">
        <v>71</v>
      </c>
      <c r="C278">
        <f>115</f>
        <v>115</v>
      </c>
      <c r="D278">
        <v>1200</v>
      </c>
      <c r="E278">
        <v>35</v>
      </c>
      <c r="F278">
        <v>3.37</v>
      </c>
    </row>
    <row r="279" spans="2:12" x14ac:dyDescent="0.25">
      <c r="B279" s="42">
        <v>71</v>
      </c>
      <c r="C279">
        <f>115</f>
        <v>115</v>
      </c>
      <c r="D279">
        <v>1440</v>
      </c>
      <c r="E279">
        <v>35.6</v>
      </c>
      <c r="F279">
        <v>3.38</v>
      </c>
    </row>
  </sheetData>
  <mergeCells count="9">
    <mergeCell ref="Q250:S251"/>
    <mergeCell ref="I258:L258"/>
    <mergeCell ref="I259:L260"/>
    <mergeCell ref="M129:N129"/>
    <mergeCell ref="R140:T140"/>
    <mergeCell ref="R141:T142"/>
    <mergeCell ref="I154:L154"/>
    <mergeCell ref="I155:L156"/>
    <mergeCell ref="Q249:S249"/>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3:N88"/>
  <sheetViews>
    <sheetView tabSelected="1" zoomScale="85" zoomScaleNormal="85" workbookViewId="0">
      <selection activeCell="D21" sqref="D21"/>
    </sheetView>
  </sheetViews>
  <sheetFormatPr defaultRowHeight="15" x14ac:dyDescent="0.25"/>
  <cols>
    <col min="1" max="1" width="26.140625" style="3" customWidth="1"/>
    <col min="2" max="2" width="22.5703125" style="3" customWidth="1"/>
    <col min="3" max="3" width="22.140625" style="3" customWidth="1"/>
    <col min="4" max="4" width="20.28515625" style="3" customWidth="1"/>
    <col min="5" max="5" width="21.85546875" style="3" customWidth="1"/>
    <col min="6" max="6" width="17.85546875" style="3" customWidth="1"/>
    <col min="7" max="12" width="18.28515625" style="3" customWidth="1"/>
    <col min="13" max="13" width="18.28515625" customWidth="1"/>
    <col min="14" max="14" width="37.140625" bestFit="1" customWidth="1"/>
    <col min="15" max="16384" width="9.140625" style="3"/>
  </cols>
  <sheetData>
    <row r="3" spans="1:14" ht="15.75" x14ac:dyDescent="0.25">
      <c r="A3" s="1" t="s">
        <v>0</v>
      </c>
      <c r="B3" s="2" t="s">
        <v>42</v>
      </c>
      <c r="J3" s="49"/>
      <c r="K3" s="45"/>
      <c r="L3" s="45"/>
      <c r="M3" s="3"/>
      <c r="N3" s="3"/>
    </row>
    <row r="4" spans="1:14" ht="15.75" x14ac:dyDescent="0.25">
      <c r="A4" s="4" t="s">
        <v>1</v>
      </c>
      <c r="B4" s="5" t="s">
        <v>60</v>
      </c>
      <c r="J4" s="49"/>
      <c r="K4" s="45"/>
      <c r="L4" s="45"/>
      <c r="M4" s="3"/>
      <c r="N4" s="3"/>
    </row>
    <row r="5" spans="1:14" ht="15.75" x14ac:dyDescent="0.25">
      <c r="A5" s="4" t="s">
        <v>2</v>
      </c>
      <c r="B5" s="5" t="s">
        <v>61</v>
      </c>
      <c r="H5" s="25"/>
      <c r="J5" s="49"/>
      <c r="K5" s="45"/>
      <c r="L5" s="45"/>
      <c r="M5" s="3"/>
      <c r="N5" s="3"/>
    </row>
    <row r="6" spans="1:14" ht="15.75" x14ac:dyDescent="0.25">
      <c r="A6" s="6" t="s">
        <v>3</v>
      </c>
      <c r="B6" s="7" t="s">
        <v>72</v>
      </c>
      <c r="C6" s="8"/>
      <c r="D6" s="8"/>
      <c r="E6" s="8"/>
      <c r="J6" s="49"/>
      <c r="K6" s="45"/>
      <c r="L6" s="45"/>
      <c r="M6" s="3"/>
      <c r="N6" s="3"/>
    </row>
    <row r="7" spans="1:14" ht="15.75" x14ac:dyDescent="0.25">
      <c r="A7" s="60"/>
      <c r="B7" s="61"/>
      <c r="C7" s="8"/>
      <c r="D7" s="8"/>
      <c r="E7" s="8"/>
      <c r="J7" s="49"/>
      <c r="K7" s="45"/>
      <c r="L7" s="45"/>
      <c r="M7" s="3"/>
      <c r="N7" s="3"/>
    </row>
    <row r="8" spans="1:14" ht="18" customHeight="1" x14ac:dyDescent="0.25">
      <c r="A8" s="4" t="s">
        <v>39</v>
      </c>
      <c r="B8" s="64" t="s">
        <v>46</v>
      </c>
      <c r="C8" s="8"/>
      <c r="D8" s="8"/>
      <c r="E8" s="8"/>
      <c r="M8" s="3"/>
      <c r="N8" s="3"/>
    </row>
    <row r="9" spans="1:14" x14ac:dyDescent="0.25">
      <c r="A9" s="9"/>
      <c r="B9" s="10"/>
      <c r="C9" s="8"/>
      <c r="D9" s="8"/>
      <c r="E9" s="8"/>
      <c r="M9" s="3"/>
      <c r="N9" s="3"/>
    </row>
    <row r="10" spans="1:14" ht="35.25" customHeight="1" x14ac:dyDescent="0.25">
      <c r="A10" s="11" t="s">
        <v>4</v>
      </c>
      <c r="B10" s="12" t="s">
        <v>63</v>
      </c>
      <c r="C10" s="13" t="s">
        <v>44</v>
      </c>
      <c r="D10" s="13" t="s">
        <v>38</v>
      </c>
      <c r="E10" s="14"/>
      <c r="M10" s="3"/>
      <c r="N10" s="3"/>
    </row>
    <row r="11" spans="1:14" x14ac:dyDescent="0.25">
      <c r="B11" s="15"/>
      <c r="C11" s="16"/>
      <c r="D11" s="16"/>
      <c r="E11" s="17"/>
      <c r="F11" s="26"/>
      <c r="I11" s="8"/>
      <c r="J11" s="8"/>
      <c r="M11" s="3"/>
      <c r="N11" s="3"/>
    </row>
    <row r="12" spans="1:14" x14ac:dyDescent="0.25">
      <c r="F12" s="27"/>
      <c r="G12" s="27"/>
      <c r="I12" s="8"/>
      <c r="J12" s="8"/>
      <c r="M12" s="3"/>
      <c r="N12" s="3"/>
    </row>
    <row r="13" spans="1:14" ht="35.25" customHeight="1" x14ac:dyDescent="0.25">
      <c r="A13" s="11" t="s">
        <v>5</v>
      </c>
      <c r="B13" s="12" t="s">
        <v>62</v>
      </c>
      <c r="C13" s="13" t="s">
        <v>43</v>
      </c>
      <c r="D13" s="13" t="s">
        <v>37</v>
      </c>
      <c r="E13" s="14"/>
      <c r="M13" s="3"/>
      <c r="N13" s="3"/>
    </row>
    <row r="14" spans="1:14" x14ac:dyDescent="0.25">
      <c r="B14" s="18" t="s">
        <v>27</v>
      </c>
      <c r="C14" s="19" t="s">
        <v>73</v>
      </c>
      <c r="D14" s="19" t="s">
        <v>74</v>
      </c>
      <c r="E14" s="20"/>
      <c r="I14" s="9"/>
      <c r="M14" s="3"/>
      <c r="N14" s="3"/>
    </row>
    <row r="15" spans="1:14" x14ac:dyDescent="0.25">
      <c r="B15" s="21">
        <v>800</v>
      </c>
      <c r="C15" s="57">
        <v>38.94012</v>
      </c>
      <c r="D15" s="57">
        <v>2.9000000000000004</v>
      </c>
      <c r="E15" s="22"/>
      <c r="F15" s="28"/>
      <c r="G15" s="29"/>
      <c r="I15" s="29"/>
      <c r="J15" s="29"/>
      <c r="M15" s="3"/>
      <c r="N15" s="3"/>
    </row>
    <row r="16" spans="1:14" x14ac:dyDescent="0.25">
      <c r="B16" s="21">
        <v>900</v>
      </c>
      <c r="C16" s="57">
        <v>40.040119999999995</v>
      </c>
      <c r="D16" s="57">
        <v>2.95</v>
      </c>
      <c r="E16" s="22"/>
      <c r="F16" s="28"/>
      <c r="G16" s="29"/>
      <c r="I16" s="29"/>
      <c r="J16" s="29"/>
      <c r="M16" s="3"/>
      <c r="N16" s="3"/>
    </row>
    <row r="17" spans="2:14" x14ac:dyDescent="0.25">
      <c r="B17" s="21">
        <v>990</v>
      </c>
      <c r="C17" s="57">
        <v>40.94012</v>
      </c>
      <c r="D17" s="57">
        <v>2.99</v>
      </c>
      <c r="E17" s="22"/>
      <c r="F17" s="28"/>
      <c r="G17" s="29"/>
      <c r="I17" s="29"/>
      <c r="J17" s="29"/>
      <c r="M17" s="3"/>
      <c r="N17" s="3"/>
    </row>
    <row r="18" spans="2:14" x14ac:dyDescent="0.25">
      <c r="B18" s="21">
        <v>1100</v>
      </c>
      <c r="C18" s="57">
        <v>41.740119999999997</v>
      </c>
      <c r="D18" s="57">
        <v>3.0300000000000002</v>
      </c>
      <c r="E18" s="22"/>
      <c r="F18" s="28"/>
      <c r="G18" s="29"/>
      <c r="I18" s="29"/>
      <c r="J18" s="29"/>
      <c r="M18" s="3"/>
      <c r="N18" s="3"/>
    </row>
    <row r="19" spans="2:14" x14ac:dyDescent="0.25">
      <c r="B19" s="21">
        <v>1225</v>
      </c>
      <c r="C19" s="57">
        <v>42.540119999999995</v>
      </c>
      <c r="D19" s="57">
        <v>3.0700000000000003</v>
      </c>
      <c r="E19" s="22"/>
      <c r="F19" s="28"/>
      <c r="G19" s="29"/>
      <c r="I19" s="29"/>
      <c r="J19" s="29"/>
      <c r="M19" s="3"/>
      <c r="N19" s="3"/>
    </row>
    <row r="20" spans="2:14" x14ac:dyDescent="0.25">
      <c r="B20" s="21"/>
      <c r="C20" s="57"/>
      <c r="D20" s="57"/>
      <c r="E20" s="22"/>
      <c r="F20" s="28"/>
      <c r="G20" s="29"/>
      <c r="I20" s="29"/>
      <c r="J20" s="29"/>
      <c r="L20" s="31"/>
      <c r="M20" s="3"/>
      <c r="N20" s="3"/>
    </row>
    <row r="21" spans="2:14" x14ac:dyDescent="0.25">
      <c r="B21" s="21"/>
      <c r="C21" s="57"/>
      <c r="D21" s="57"/>
      <c r="E21" s="22"/>
      <c r="F21" s="28"/>
      <c r="G21" s="32"/>
      <c r="I21" s="32"/>
      <c r="J21" s="32"/>
      <c r="L21" s="31"/>
      <c r="M21" s="3"/>
      <c r="N21" s="3"/>
    </row>
    <row r="22" spans="2:14" x14ac:dyDescent="0.25">
      <c r="B22" s="21"/>
      <c r="C22" s="57"/>
      <c r="D22" s="57"/>
      <c r="E22" s="22"/>
      <c r="F22" s="28"/>
      <c r="G22" s="33"/>
      <c r="I22" s="33"/>
      <c r="J22" s="33"/>
      <c r="L22" s="9"/>
      <c r="M22" s="3"/>
      <c r="N22" s="3"/>
    </row>
    <row r="23" spans="2:14" x14ac:dyDescent="0.25">
      <c r="B23" s="21"/>
      <c r="C23" s="57"/>
      <c r="D23" s="57"/>
      <c r="E23" s="22"/>
      <c r="F23" s="28"/>
      <c r="G23" s="33"/>
      <c r="I23" s="33"/>
      <c r="J23" s="33"/>
      <c r="L23" s="9"/>
      <c r="M23" s="3"/>
      <c r="N23" s="3"/>
    </row>
    <row r="24" spans="2:14" x14ac:dyDescent="0.25">
      <c r="B24" s="21"/>
      <c r="C24" s="57"/>
      <c r="D24" s="57"/>
      <c r="E24" s="22"/>
      <c r="F24" s="28"/>
      <c r="G24" s="33"/>
      <c r="I24" s="33"/>
      <c r="J24" s="33"/>
      <c r="L24" s="10"/>
      <c r="M24" s="3"/>
      <c r="N24" s="3"/>
    </row>
    <row r="25" spans="2:14" x14ac:dyDescent="0.25">
      <c r="B25" s="21"/>
      <c r="C25" s="57"/>
      <c r="D25" s="57"/>
      <c r="E25" s="22"/>
      <c r="F25" s="28"/>
      <c r="L25" s="10"/>
      <c r="M25" s="3"/>
      <c r="N25" s="3"/>
    </row>
    <row r="26" spans="2:14" x14ac:dyDescent="0.25">
      <c r="B26" s="21"/>
      <c r="C26" s="57"/>
      <c r="D26" s="57"/>
      <c r="E26" s="22"/>
      <c r="F26" s="28"/>
      <c r="L26" s="10"/>
      <c r="M26" s="3"/>
      <c r="N26" s="3"/>
    </row>
    <row r="27" spans="2:14" x14ac:dyDescent="0.25">
      <c r="B27" s="23"/>
      <c r="C27" s="55"/>
      <c r="D27" s="55"/>
      <c r="E27" s="24"/>
      <c r="F27" s="28"/>
      <c r="G27" s="9"/>
      <c r="I27" s="30"/>
      <c r="J27" s="9"/>
      <c r="L27" s="27"/>
      <c r="M27" s="3"/>
      <c r="N27" s="3"/>
    </row>
    <row r="28" spans="2:14" x14ac:dyDescent="0.25">
      <c r="B28" s="23"/>
      <c r="C28" s="55"/>
      <c r="D28" s="55"/>
      <c r="E28" s="24"/>
      <c r="F28" s="28"/>
      <c r="G28" s="9"/>
      <c r="I28" s="30"/>
      <c r="J28" s="9"/>
      <c r="L28" s="27"/>
      <c r="M28" s="3"/>
      <c r="N28" s="3"/>
    </row>
    <row r="29" spans="2:14" x14ac:dyDescent="0.25">
      <c r="B29" s="23"/>
      <c r="C29" s="55"/>
      <c r="D29" s="55"/>
      <c r="E29" s="24"/>
      <c r="F29" s="28"/>
      <c r="G29" s="9"/>
      <c r="I29" s="30"/>
      <c r="J29" s="9"/>
      <c r="L29" s="27"/>
      <c r="M29" s="3"/>
      <c r="N29" s="3"/>
    </row>
    <row r="30" spans="2:14" x14ac:dyDescent="0.25">
      <c r="B30" s="23"/>
      <c r="C30" s="55"/>
      <c r="D30" s="55"/>
      <c r="E30" s="24"/>
      <c r="F30" s="22"/>
      <c r="I30" s="30"/>
      <c r="L30" s="27"/>
      <c r="M30" s="3"/>
      <c r="N30" s="3"/>
    </row>
    <row r="31" spans="2:14" x14ac:dyDescent="0.25">
      <c r="B31" s="23"/>
      <c r="C31" s="55"/>
      <c r="D31" s="55"/>
      <c r="E31" s="24"/>
      <c r="F31" s="22"/>
      <c r="I31" s="30"/>
      <c r="L31" s="27"/>
      <c r="M31" s="3"/>
      <c r="N31" s="3"/>
    </row>
    <row r="32" spans="2:14" x14ac:dyDescent="0.25">
      <c r="B32" s="23"/>
      <c r="C32" s="55"/>
      <c r="D32" s="55"/>
      <c r="E32" s="24"/>
      <c r="F32" s="22"/>
      <c r="G32" s="26"/>
      <c r="I32" s="30"/>
      <c r="L32" s="27"/>
      <c r="M32" s="3"/>
      <c r="N32" s="3"/>
    </row>
    <row r="33" spans="1:14" x14ac:dyDescent="0.25">
      <c r="B33" s="23"/>
      <c r="C33" s="55"/>
      <c r="D33" s="55"/>
      <c r="E33" s="24"/>
      <c r="F33" s="22"/>
      <c r="I33" s="30"/>
      <c r="L33" s="27"/>
      <c r="M33" s="3"/>
      <c r="N33" s="3"/>
    </row>
    <row r="34" spans="1:14" x14ac:dyDescent="0.25">
      <c r="B34" s="23"/>
      <c r="C34" s="55"/>
      <c r="D34" s="55"/>
      <c r="E34" s="24"/>
      <c r="F34" s="22"/>
      <c r="G34" s="29"/>
      <c r="I34" s="29"/>
      <c r="J34" s="29"/>
      <c r="L34" s="27"/>
      <c r="M34" s="3"/>
      <c r="N34" s="3"/>
    </row>
    <row r="35" spans="1:14" x14ac:dyDescent="0.25">
      <c r="B35" s="10"/>
      <c r="C35" s="10"/>
      <c r="D35" s="10"/>
      <c r="E35" s="10"/>
      <c r="F35" s="22"/>
      <c r="G35" s="29"/>
      <c r="I35" s="29"/>
      <c r="J35" s="29"/>
      <c r="L35" s="10"/>
      <c r="M35" s="3"/>
      <c r="N35" s="3"/>
    </row>
    <row r="36" spans="1:14" x14ac:dyDescent="0.25">
      <c r="B36" s="10"/>
      <c r="C36" s="10"/>
      <c r="D36" s="10"/>
      <c r="E36" s="10"/>
      <c r="F36" s="22"/>
      <c r="G36" s="29"/>
      <c r="I36" s="29"/>
      <c r="J36" s="29"/>
      <c r="L36" s="10"/>
      <c r="M36" s="3"/>
      <c r="N36" s="3"/>
    </row>
    <row r="37" spans="1:14" x14ac:dyDescent="0.25">
      <c r="A37" s="9"/>
      <c r="B37" s="10"/>
      <c r="C37" s="10"/>
      <c r="D37" s="10"/>
      <c r="E37" s="10"/>
      <c r="F37" s="22"/>
      <c r="G37" s="29"/>
      <c r="I37" s="29"/>
      <c r="J37" s="29"/>
      <c r="L37" s="10"/>
      <c r="M37" s="3"/>
      <c r="N37" s="3"/>
    </row>
    <row r="38" spans="1:14" x14ac:dyDescent="0.25">
      <c r="A38" s="34"/>
      <c r="B38" s="10"/>
      <c r="C38" s="10"/>
      <c r="D38" s="10"/>
      <c r="E38" s="10"/>
      <c r="F38" s="22"/>
      <c r="G38" s="29"/>
      <c r="I38" s="29"/>
      <c r="J38" s="29"/>
      <c r="L38" s="10"/>
      <c r="M38" s="3"/>
      <c r="N38" s="3"/>
    </row>
    <row r="39" spans="1:14" x14ac:dyDescent="0.25">
      <c r="A39" s="9"/>
      <c r="B39" s="10"/>
      <c r="C39" s="10"/>
      <c r="D39" s="10"/>
      <c r="E39" s="10"/>
      <c r="F39" s="22"/>
      <c r="G39" s="29"/>
      <c r="I39" s="29"/>
      <c r="J39" s="29"/>
      <c r="L39" s="10"/>
      <c r="M39" s="3"/>
      <c r="N39" s="3"/>
    </row>
    <row r="40" spans="1:14" x14ac:dyDescent="0.25">
      <c r="A40" s="9"/>
      <c r="B40" s="10"/>
      <c r="C40" s="10"/>
      <c r="D40" s="10"/>
      <c r="E40" s="10"/>
      <c r="F40" s="22"/>
      <c r="G40" s="32"/>
      <c r="I40" s="32"/>
      <c r="J40" s="32"/>
      <c r="L40" s="10"/>
      <c r="M40" s="3"/>
      <c r="N40" s="3"/>
    </row>
    <row r="41" spans="1:14" x14ac:dyDescent="0.25">
      <c r="A41" s="9"/>
      <c r="B41" s="10"/>
      <c r="C41" s="10"/>
      <c r="D41" s="10"/>
      <c r="E41" s="10"/>
      <c r="F41" s="22"/>
      <c r="G41" s="33"/>
      <c r="I41" s="33"/>
      <c r="J41" s="33"/>
      <c r="L41" s="10"/>
      <c r="M41" s="3"/>
      <c r="N41" s="3"/>
    </row>
    <row r="42" spans="1:14" x14ac:dyDescent="0.25">
      <c r="A42" s="9"/>
      <c r="B42" s="10"/>
      <c r="C42" s="10"/>
      <c r="D42" s="10"/>
      <c r="E42" s="10"/>
      <c r="F42" s="22"/>
      <c r="G42" s="33"/>
      <c r="I42" s="33"/>
      <c r="J42" s="33"/>
      <c r="L42" s="10"/>
      <c r="M42" s="3"/>
      <c r="N42" s="3"/>
    </row>
    <row r="43" spans="1:14" x14ac:dyDescent="0.25">
      <c r="A43" s="9"/>
      <c r="B43" s="27"/>
      <c r="C43" s="23"/>
      <c r="D43" s="27"/>
      <c r="E43" s="27"/>
      <c r="F43" s="22"/>
      <c r="G43" s="33"/>
      <c r="I43" s="33"/>
      <c r="J43" s="33"/>
      <c r="K43" s="27"/>
      <c r="L43" s="27"/>
      <c r="M43" s="3"/>
      <c r="N43" s="3"/>
    </row>
    <row r="44" spans="1:14" x14ac:dyDescent="0.25">
      <c r="A44" s="9"/>
      <c r="B44" s="10"/>
      <c r="C44" s="10"/>
      <c r="D44" s="10"/>
      <c r="E44" s="10"/>
      <c r="F44" s="22"/>
      <c r="J44" s="56"/>
      <c r="K44" s="10"/>
      <c r="L44" s="10"/>
      <c r="M44" s="3"/>
      <c r="N44" s="3"/>
    </row>
    <row r="45" spans="1:14" x14ac:dyDescent="0.25">
      <c r="A45" s="9"/>
      <c r="B45" s="10"/>
      <c r="C45" s="10"/>
      <c r="D45" s="10"/>
      <c r="E45" s="10"/>
      <c r="F45" s="22"/>
      <c r="M45" s="3"/>
      <c r="N45" s="3"/>
    </row>
    <row r="46" spans="1:14" x14ac:dyDescent="0.25">
      <c r="A46" s="9"/>
      <c r="B46" s="27"/>
      <c r="C46" s="23"/>
      <c r="D46" s="27"/>
      <c r="E46" s="27"/>
      <c r="G46" s="9"/>
      <c r="I46" s="9"/>
      <c r="M46" s="3"/>
      <c r="N46" s="3"/>
    </row>
    <row r="47" spans="1:14" x14ac:dyDescent="0.25">
      <c r="A47" s="9"/>
      <c r="B47" s="10"/>
      <c r="C47" s="10"/>
      <c r="D47" s="10"/>
      <c r="E47" s="10"/>
      <c r="G47" s="9"/>
      <c r="I47" s="9"/>
      <c r="M47" s="3"/>
      <c r="N47" s="3"/>
    </row>
    <row r="48" spans="1:14" x14ac:dyDescent="0.25">
      <c r="A48" s="9"/>
      <c r="B48" s="10"/>
      <c r="C48" s="10"/>
      <c r="D48" s="10"/>
      <c r="E48" s="10"/>
      <c r="G48" s="9"/>
      <c r="I48" s="9"/>
      <c r="M48" s="3"/>
      <c r="N48" s="3"/>
    </row>
    <row r="49" spans="1:14" x14ac:dyDescent="0.25">
      <c r="A49" s="9"/>
      <c r="B49" s="8"/>
      <c r="C49" s="8"/>
      <c r="D49" s="8"/>
      <c r="E49" s="8"/>
      <c r="M49" s="3"/>
      <c r="N49" s="3"/>
    </row>
    <row r="50" spans="1:14" x14ac:dyDescent="0.25">
      <c r="A50" s="9"/>
      <c r="B50" s="8"/>
      <c r="C50" s="8"/>
      <c r="D50" s="8"/>
      <c r="E50" s="8"/>
      <c r="M50" s="3"/>
      <c r="N50" s="3"/>
    </row>
    <row r="51" spans="1:14" x14ac:dyDescent="0.25">
      <c r="A51" s="9"/>
      <c r="B51" s="8"/>
      <c r="C51" s="8"/>
      <c r="D51" s="8"/>
      <c r="E51" s="8"/>
      <c r="M51" s="3"/>
      <c r="N51" s="3"/>
    </row>
    <row r="52" spans="1:14" x14ac:dyDescent="0.25">
      <c r="B52" s="8"/>
      <c r="C52" s="8"/>
      <c r="D52" s="8"/>
      <c r="E52" s="8"/>
      <c r="M52" s="3"/>
      <c r="N52" s="3"/>
    </row>
    <row r="53" spans="1:14" x14ac:dyDescent="0.25">
      <c r="B53" s="8"/>
      <c r="C53" s="8"/>
      <c r="D53" s="8"/>
      <c r="E53" s="8"/>
      <c r="M53" s="3"/>
      <c r="N53" s="3"/>
    </row>
    <row r="54" spans="1:14" x14ac:dyDescent="0.25">
      <c r="B54" s="8"/>
      <c r="C54" s="8"/>
      <c r="D54" s="8"/>
      <c r="E54" s="8"/>
      <c r="M54" s="3"/>
      <c r="N54" s="3"/>
    </row>
    <row r="55" spans="1:14" x14ac:dyDescent="0.25">
      <c r="B55" s="8"/>
      <c r="C55" s="8"/>
      <c r="D55" s="8"/>
      <c r="E55" s="8"/>
      <c r="M55" s="3"/>
      <c r="N55" s="3"/>
    </row>
    <row r="56" spans="1:14" x14ac:dyDescent="0.25">
      <c r="B56" s="8"/>
      <c r="C56" s="8"/>
      <c r="D56" s="8"/>
      <c r="E56" s="8"/>
      <c r="M56" s="3"/>
      <c r="N56" s="3"/>
    </row>
    <row r="57" spans="1:14" x14ac:dyDescent="0.25">
      <c r="B57" s="8"/>
      <c r="C57" s="8"/>
      <c r="D57" s="8"/>
      <c r="E57" s="8"/>
      <c r="M57" s="3"/>
      <c r="N57" s="3"/>
    </row>
    <row r="58" spans="1:14" x14ac:dyDescent="0.25">
      <c r="B58" s="8"/>
      <c r="C58" s="8"/>
      <c r="D58" s="8"/>
      <c r="E58" s="8"/>
      <c r="M58" s="3"/>
      <c r="N58" s="3"/>
    </row>
    <row r="59" spans="1:14" x14ac:dyDescent="0.25">
      <c r="B59" s="8"/>
      <c r="C59" s="8"/>
      <c r="D59" s="8"/>
      <c r="E59" s="8"/>
      <c r="F59" s="35"/>
      <c r="M59" s="3"/>
      <c r="N59" s="3"/>
    </row>
    <row r="60" spans="1:14" x14ac:dyDescent="0.25">
      <c r="B60" s="8"/>
      <c r="C60" s="8"/>
      <c r="D60" s="8"/>
      <c r="E60" s="8"/>
      <c r="F60" s="35"/>
      <c r="M60" s="3"/>
      <c r="N60" s="3"/>
    </row>
    <row r="61" spans="1:14" x14ac:dyDescent="0.25">
      <c r="B61" s="8"/>
      <c r="C61" s="8"/>
      <c r="D61" s="8"/>
      <c r="E61" s="8"/>
      <c r="F61" s="35"/>
      <c r="M61" s="3"/>
      <c r="N61" s="3"/>
    </row>
    <row r="62" spans="1:14" x14ac:dyDescent="0.25">
      <c r="B62" s="8"/>
      <c r="C62" s="8"/>
      <c r="D62" s="8"/>
      <c r="E62" s="8"/>
      <c r="F62" s="35"/>
      <c r="M62" s="3"/>
      <c r="N62" s="3"/>
    </row>
    <row r="63" spans="1:14" x14ac:dyDescent="0.25">
      <c r="B63" s="8"/>
      <c r="C63" s="8"/>
      <c r="D63" s="8"/>
      <c r="E63" s="8"/>
      <c r="F63" s="35"/>
      <c r="M63" s="3"/>
      <c r="N63" s="3"/>
    </row>
    <row r="64" spans="1:14" x14ac:dyDescent="0.25">
      <c r="B64" s="8"/>
      <c r="C64" s="8"/>
      <c r="D64" s="8"/>
      <c r="E64" s="8"/>
      <c r="F64" s="35"/>
      <c r="M64" s="3"/>
      <c r="N64" s="3"/>
    </row>
    <row r="65" spans="2:14" x14ac:dyDescent="0.25">
      <c r="B65" s="8"/>
      <c r="C65" s="8"/>
      <c r="D65" s="8"/>
      <c r="E65" s="8"/>
      <c r="F65" s="35"/>
      <c r="M65" s="3"/>
      <c r="N65" s="3"/>
    </row>
    <row r="66" spans="2:14" x14ac:dyDescent="0.25">
      <c r="B66" s="8"/>
      <c r="C66" s="8"/>
      <c r="D66" s="8"/>
      <c r="E66" s="8"/>
      <c r="F66" s="35"/>
      <c r="M66" s="3"/>
      <c r="N66" s="3"/>
    </row>
    <row r="67" spans="2:14" x14ac:dyDescent="0.25">
      <c r="B67" s="8"/>
      <c r="C67" s="8"/>
      <c r="D67" s="8"/>
      <c r="E67" s="8"/>
      <c r="F67" s="35"/>
      <c r="M67" s="3"/>
      <c r="N67" s="3"/>
    </row>
    <row r="68" spans="2:14" x14ac:dyDescent="0.25">
      <c r="B68" s="8"/>
      <c r="C68" s="8"/>
      <c r="D68" s="8"/>
      <c r="E68" s="8"/>
      <c r="F68" s="35"/>
      <c r="M68" s="3"/>
      <c r="N68" s="3"/>
    </row>
    <row r="69" spans="2:14" x14ac:dyDescent="0.25">
      <c r="B69" s="8"/>
      <c r="C69" s="8"/>
      <c r="D69" s="8"/>
      <c r="E69" s="8"/>
      <c r="F69" s="35"/>
      <c r="M69" s="3"/>
      <c r="N69" s="3"/>
    </row>
    <row r="70" spans="2:14" x14ac:dyDescent="0.25">
      <c r="B70" s="8"/>
      <c r="C70" s="8"/>
      <c r="D70" s="8"/>
      <c r="E70" s="8"/>
      <c r="F70" s="35"/>
      <c r="M70" s="3"/>
      <c r="N70" s="3"/>
    </row>
    <row r="71" spans="2:14" x14ac:dyDescent="0.25">
      <c r="E71" s="35"/>
      <c r="F71" s="35"/>
      <c r="M71" s="3"/>
      <c r="N71" s="3"/>
    </row>
    <row r="72" spans="2:14" x14ac:dyDescent="0.25">
      <c r="E72" s="35"/>
      <c r="F72" s="35"/>
      <c r="M72" s="3"/>
      <c r="N72" s="3"/>
    </row>
    <row r="73" spans="2:14" x14ac:dyDescent="0.25">
      <c r="E73" s="35"/>
      <c r="F73" s="35"/>
      <c r="M73" s="3"/>
      <c r="N73" s="3"/>
    </row>
    <row r="74" spans="2:14" x14ac:dyDescent="0.25">
      <c r="E74" s="35"/>
      <c r="F74" s="35"/>
      <c r="M74" s="3"/>
      <c r="N74" s="3"/>
    </row>
    <row r="75" spans="2:14" x14ac:dyDescent="0.25">
      <c r="E75" s="35"/>
      <c r="F75" s="35"/>
      <c r="M75" s="3"/>
      <c r="N75" s="3"/>
    </row>
    <row r="76" spans="2:14" x14ac:dyDescent="0.25">
      <c r="E76" s="35"/>
      <c r="F76" s="35"/>
      <c r="M76" s="3"/>
      <c r="N76" s="3"/>
    </row>
    <row r="77" spans="2:14" x14ac:dyDescent="0.25">
      <c r="E77" s="35"/>
      <c r="F77" s="35"/>
      <c r="M77" s="3"/>
      <c r="N77" s="3"/>
    </row>
    <row r="78" spans="2:14" x14ac:dyDescent="0.25">
      <c r="E78" s="35"/>
      <c r="F78" s="35"/>
      <c r="M78" s="3"/>
      <c r="N78" s="3"/>
    </row>
    <row r="79" spans="2:14" x14ac:dyDescent="0.25">
      <c r="E79" s="35"/>
      <c r="F79" s="35"/>
      <c r="M79" s="3"/>
      <c r="N79" s="3"/>
    </row>
    <row r="80" spans="2:14" x14ac:dyDescent="0.25">
      <c r="E80" s="35"/>
      <c r="F80" s="35"/>
      <c r="M80" s="3"/>
      <c r="N80" s="3"/>
    </row>
    <row r="81" spans="5:14" x14ac:dyDescent="0.25">
      <c r="E81" s="35"/>
      <c r="F81" s="35"/>
      <c r="M81" s="3"/>
      <c r="N81" s="3"/>
    </row>
    <row r="82" spans="5:14" x14ac:dyDescent="0.25">
      <c r="E82" s="35"/>
      <c r="F82" s="35"/>
      <c r="M82" s="3"/>
      <c r="N82" s="3"/>
    </row>
    <row r="83" spans="5:14" x14ac:dyDescent="0.25">
      <c r="E83" s="35"/>
      <c r="F83" s="35"/>
      <c r="M83" s="3"/>
      <c r="N83" s="3"/>
    </row>
    <row r="84" spans="5:14" x14ac:dyDescent="0.25">
      <c r="E84" s="35"/>
      <c r="F84" s="35"/>
      <c r="M84" s="3"/>
      <c r="N84" s="3"/>
    </row>
    <row r="85" spans="5:14" x14ac:dyDescent="0.25">
      <c r="E85" s="35"/>
      <c r="F85" s="35"/>
      <c r="M85" s="3"/>
      <c r="N85" s="3"/>
    </row>
    <row r="86" spans="5:14" x14ac:dyDescent="0.25">
      <c r="E86" s="35"/>
      <c r="F86" s="35"/>
      <c r="M86" s="3"/>
      <c r="N86" s="3"/>
    </row>
    <row r="87" spans="5:14" x14ac:dyDescent="0.25">
      <c r="E87" s="35"/>
      <c r="F87" s="35"/>
      <c r="M87" s="3"/>
      <c r="N87" s="3"/>
    </row>
    <row r="88" spans="5:14" x14ac:dyDescent="0.25">
      <c r="E88" s="35"/>
      <c r="F88" s="35"/>
      <c r="M88" s="3"/>
      <c r="N88" s="3"/>
    </row>
  </sheetData>
  <dataValidations count="4">
    <dataValidation type="list" errorStyle="information" allowBlank="1" showInputMessage="1" showErrorMessage="1" promptTitle="Curve Choice" sqref="B3">
      <formula1>"Cooling, Heating, Other"</formula1>
    </dataValidation>
    <dataValidation type="list" allowBlank="1" showErrorMessage="1" promptTitle="Curve Type" sqref="B4">
      <formula1>"Temperature, Flow"</formula1>
    </dataValidation>
    <dataValidation type="list" allowBlank="1" showInputMessage="1" showErrorMessage="1" sqref="B5">
      <formula1>"Biquadratic, Cubic, Quadratic"</formula1>
    </dataValidation>
    <dataValidation type="list" allowBlank="1" showInputMessage="1" showErrorMessage="1" sqref="B6">
      <formula1>"IP, SI"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68" r:id="rId4" name="Button 20">
              <controlPr defaultSize="0" print="0" autoFill="0" autoPict="0" macro="[0]!ManageCurveFit">
                <anchor moveWithCells="1" sizeWithCells="1">
                  <from>
                    <xdr:col>3</xdr:col>
                    <xdr:colOff>104775</xdr:colOff>
                    <xdr:row>3</xdr:row>
                    <xdr:rowOff>38100</xdr:rowOff>
                  </from>
                  <to>
                    <xdr:col>4</xdr:col>
                    <xdr:colOff>1409700</xdr:colOff>
                    <xdr:row>5</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2:M49"/>
  <sheetViews>
    <sheetView zoomScale="85" zoomScaleNormal="85" workbookViewId="0">
      <selection activeCell="E33" sqref="E33"/>
    </sheetView>
  </sheetViews>
  <sheetFormatPr defaultRowHeight="15" x14ac:dyDescent="0.25"/>
  <cols>
    <col min="1" max="1" width="3.140625" customWidth="1"/>
    <col min="2" max="2" width="28.42578125" bestFit="1" customWidth="1"/>
    <col min="3" max="3" width="24.42578125" bestFit="1" customWidth="1"/>
    <col min="4" max="8" width="9.7109375" customWidth="1"/>
    <col min="9" max="9" width="13.5703125" customWidth="1"/>
    <col min="10" max="10" width="12.28515625" customWidth="1"/>
    <col min="13" max="13" width="47" customWidth="1"/>
  </cols>
  <sheetData>
    <row r="2" spans="2:13" x14ac:dyDescent="0.25">
      <c r="B2" s="4" t="s">
        <v>41</v>
      </c>
      <c r="C2" t="s">
        <v>64</v>
      </c>
    </row>
    <row r="3" spans="2:13" x14ac:dyDescent="0.25">
      <c r="B3" s="6" t="s">
        <v>45</v>
      </c>
      <c r="C3" t="s">
        <v>65</v>
      </c>
    </row>
    <row r="6" spans="2:13" x14ac:dyDescent="0.25">
      <c r="B6" s="58" t="s">
        <v>66</v>
      </c>
      <c r="C6" s="59" t="s">
        <v>6</v>
      </c>
    </row>
    <row r="7" spans="2:13" x14ac:dyDescent="0.25">
      <c r="B7" s="62" t="s">
        <v>67</v>
      </c>
      <c r="C7" s="59"/>
      <c r="E7" s="58"/>
    </row>
    <row r="8" spans="2:13" x14ac:dyDescent="0.25">
      <c r="B8" s="62" t="s">
        <v>68</v>
      </c>
      <c r="C8" s="59" t="s">
        <v>40</v>
      </c>
      <c r="E8" s="58"/>
    </row>
    <row r="9" spans="2:13" x14ac:dyDescent="0.25">
      <c r="B9" s="62">
        <v>0.45562324910000002</v>
      </c>
      <c r="C9" s="59" t="s">
        <v>7</v>
      </c>
      <c r="E9" s="58"/>
      <c r="M9" s="70"/>
    </row>
    <row r="10" spans="2:13" x14ac:dyDescent="0.25">
      <c r="B10" s="62">
        <v>0.96963910320000002</v>
      </c>
      <c r="C10" s="59" t="s">
        <v>8</v>
      </c>
      <c r="E10" s="58"/>
      <c r="M10" s="70"/>
    </row>
    <row r="11" spans="2:13" x14ac:dyDescent="0.25">
      <c r="B11" s="62">
        <v>-0.53615717979999999</v>
      </c>
      <c r="C11" s="59" t="s">
        <v>9</v>
      </c>
      <c r="E11" s="58"/>
      <c r="M11" s="70"/>
    </row>
    <row r="12" spans="2:13" x14ac:dyDescent="0.25">
      <c r="B12" s="62">
        <v>0.1108948275</v>
      </c>
      <c r="C12" s="59" t="s">
        <v>69</v>
      </c>
      <c r="E12" s="58"/>
      <c r="M12" s="70"/>
    </row>
    <row r="13" spans="2:13" x14ac:dyDescent="0.25">
      <c r="B13" s="62">
        <v>0.89</v>
      </c>
      <c r="C13" s="59" t="s">
        <v>10</v>
      </c>
      <c r="E13" s="58"/>
      <c r="M13" s="70"/>
    </row>
    <row r="14" spans="2:13" x14ac:dyDescent="0.25">
      <c r="B14" s="62">
        <v>1.36</v>
      </c>
      <c r="C14" s="59" t="s">
        <v>11</v>
      </c>
      <c r="E14" s="58"/>
      <c r="M14" s="70"/>
    </row>
    <row r="15" spans="2:13" x14ac:dyDescent="0.25">
      <c r="B15" s="66">
        <v>0.97250000000000003</v>
      </c>
      <c r="C15" s="59" t="s">
        <v>12</v>
      </c>
      <c r="E15" s="58"/>
      <c r="M15" s="70"/>
    </row>
    <row r="16" spans="2:13" x14ac:dyDescent="0.25">
      <c r="B16" s="66">
        <v>1.0624</v>
      </c>
      <c r="C16" s="59" t="s">
        <v>13</v>
      </c>
      <c r="E16" s="58"/>
      <c r="M16" s="70"/>
    </row>
    <row r="17" spans="2:13" x14ac:dyDescent="0.25">
      <c r="B17" s="66" t="s">
        <v>15</v>
      </c>
      <c r="C17" s="59" t="s">
        <v>14</v>
      </c>
      <c r="E17" s="58"/>
      <c r="M17" s="70"/>
    </row>
    <row r="18" spans="2:13" x14ac:dyDescent="0.25">
      <c r="B18" s="66" t="s">
        <v>15</v>
      </c>
      <c r="C18" s="59" t="s">
        <v>16</v>
      </c>
      <c r="E18" s="58"/>
      <c r="M18" s="70"/>
    </row>
    <row r="19" spans="2:13" x14ac:dyDescent="0.25">
      <c r="B19" s="63"/>
      <c r="C19" s="59"/>
      <c r="E19" s="58"/>
      <c r="M19" s="70"/>
    </row>
    <row r="20" spans="2:13" x14ac:dyDescent="0.25">
      <c r="B20" s="63"/>
      <c r="C20" s="59"/>
      <c r="E20" s="58"/>
      <c r="M20" s="70"/>
    </row>
    <row r="21" spans="2:13" x14ac:dyDescent="0.25">
      <c r="B21" s="58" t="s">
        <v>70</v>
      </c>
      <c r="C21" s="59" t="s">
        <v>6</v>
      </c>
      <c r="E21" s="58"/>
    </row>
    <row r="22" spans="2:13" x14ac:dyDescent="0.25">
      <c r="B22" s="58" t="s">
        <v>67</v>
      </c>
      <c r="C22" s="59"/>
    </row>
    <row r="23" spans="2:13" x14ac:dyDescent="0.25">
      <c r="B23" s="58" t="s">
        <v>71</v>
      </c>
      <c r="C23" s="59" t="s">
        <v>40</v>
      </c>
    </row>
    <row r="24" spans="2:13" x14ac:dyDescent="0.25">
      <c r="B24" s="58">
        <v>1.2817294104000001</v>
      </c>
      <c r="C24" s="59" t="s">
        <v>7</v>
      </c>
    </row>
    <row r="25" spans="2:13" x14ac:dyDescent="0.25">
      <c r="B25" s="58">
        <v>-0.55065148829999999</v>
      </c>
      <c r="C25" s="59" t="s">
        <v>8</v>
      </c>
    </row>
    <row r="26" spans="2:13" x14ac:dyDescent="0.25">
      <c r="B26" s="62">
        <v>0.34429704880000001</v>
      </c>
      <c r="C26" s="59" t="s">
        <v>9</v>
      </c>
      <c r="E26" s="58"/>
      <c r="F26" s="59"/>
    </row>
    <row r="27" spans="2:13" x14ac:dyDescent="0.25">
      <c r="B27" s="62">
        <v>-7.5374970900000005E-2</v>
      </c>
      <c r="C27" s="59" t="s">
        <v>69</v>
      </c>
      <c r="E27" s="58"/>
      <c r="F27" s="59"/>
    </row>
    <row r="28" spans="2:13" x14ac:dyDescent="0.25">
      <c r="B28" s="62">
        <v>0.89</v>
      </c>
      <c r="C28" s="59" t="s">
        <v>10</v>
      </c>
      <c r="E28" s="58"/>
      <c r="F28" s="59"/>
    </row>
    <row r="29" spans="2:13" x14ac:dyDescent="0.25">
      <c r="B29" s="62">
        <v>1.36</v>
      </c>
      <c r="C29" s="59" t="s">
        <v>11</v>
      </c>
      <c r="E29" s="58"/>
      <c r="F29" s="59"/>
      <c r="M29" s="70"/>
    </row>
    <row r="30" spans="2:13" x14ac:dyDescent="0.25">
      <c r="B30" s="62">
        <v>0.97950000000000004</v>
      </c>
      <c r="C30" s="59" t="s">
        <v>12</v>
      </c>
      <c r="E30" s="58"/>
      <c r="F30" s="59"/>
      <c r="M30" s="70"/>
    </row>
    <row r="31" spans="2:13" x14ac:dyDescent="0.25">
      <c r="B31" s="62">
        <v>1.0107999999999999</v>
      </c>
      <c r="C31" s="59" t="s">
        <v>13</v>
      </c>
      <c r="E31" s="58"/>
      <c r="F31" s="59"/>
      <c r="M31" s="70"/>
    </row>
    <row r="32" spans="2:13" x14ac:dyDescent="0.25">
      <c r="B32" s="62" t="s">
        <v>15</v>
      </c>
      <c r="C32" s="59" t="s">
        <v>14</v>
      </c>
      <c r="E32" s="58"/>
      <c r="F32" s="59"/>
      <c r="M32" s="70"/>
    </row>
    <row r="33" spans="2:13" x14ac:dyDescent="0.25">
      <c r="B33" s="62" t="s">
        <v>15</v>
      </c>
      <c r="C33" s="59" t="s">
        <v>16</v>
      </c>
      <c r="E33" s="58"/>
      <c r="F33" s="59"/>
      <c r="M33" s="70"/>
    </row>
    <row r="34" spans="2:13" x14ac:dyDescent="0.25">
      <c r="B34" s="62"/>
      <c r="C34" s="59"/>
      <c r="E34" s="58"/>
      <c r="F34" s="59"/>
      <c r="M34" s="70"/>
    </row>
    <row r="35" spans="2:13" x14ac:dyDescent="0.25">
      <c r="B35" s="66"/>
      <c r="C35" s="59"/>
      <c r="E35" s="58"/>
      <c r="F35" s="59"/>
      <c r="M35" s="70"/>
    </row>
    <row r="36" spans="2:13" x14ac:dyDescent="0.25">
      <c r="B36" s="58"/>
      <c r="C36" s="59"/>
      <c r="E36" s="58"/>
      <c r="F36" s="59"/>
      <c r="M36" s="70"/>
    </row>
    <row r="37" spans="2:13" x14ac:dyDescent="0.25">
      <c r="B37" s="58"/>
      <c r="C37" s="59"/>
      <c r="E37" s="58"/>
      <c r="F37" s="59"/>
      <c r="M37" s="70"/>
    </row>
    <row r="38" spans="2:13" x14ac:dyDescent="0.25">
      <c r="B38" s="58"/>
      <c r="C38" s="59"/>
      <c r="E38" s="58"/>
      <c r="F38" s="59"/>
      <c r="M38" s="70"/>
    </row>
    <row r="39" spans="2:13" x14ac:dyDescent="0.25">
      <c r="B39" s="58"/>
      <c r="C39" s="59"/>
      <c r="E39" s="58"/>
      <c r="F39" s="59"/>
      <c r="M39" s="70"/>
    </row>
    <row r="40" spans="2:13" x14ac:dyDescent="0.25">
      <c r="B40" s="58"/>
      <c r="C40" s="59"/>
      <c r="E40" s="58"/>
      <c r="F40" s="59"/>
      <c r="M40" s="70"/>
    </row>
    <row r="41" spans="2:13" x14ac:dyDescent="0.25">
      <c r="B41" s="58"/>
      <c r="C41" s="59"/>
    </row>
    <row r="42" spans="2:13" x14ac:dyDescent="0.25">
      <c r="B42" s="58"/>
      <c r="C42" s="59"/>
    </row>
    <row r="43" spans="2:13" x14ac:dyDescent="0.25">
      <c r="B43" s="58"/>
      <c r="C43" s="59"/>
    </row>
    <row r="44" spans="2:13" x14ac:dyDescent="0.25">
      <c r="B44" s="58"/>
      <c r="C44" s="59"/>
    </row>
    <row r="45" spans="2:13" x14ac:dyDescent="0.25">
      <c r="B45" s="58"/>
    </row>
    <row r="46" spans="2:13" x14ac:dyDescent="0.25">
      <c r="B46" s="58"/>
    </row>
    <row r="47" spans="2:13" x14ac:dyDescent="0.25">
      <c r="B47" s="58"/>
    </row>
    <row r="48" spans="2:13" x14ac:dyDescent="0.25">
      <c r="B48" s="58"/>
    </row>
    <row r="49" spans="2:2" x14ac:dyDescent="0.25">
      <c r="B49" s="58"/>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aveCurveObjToTextFile">
                <anchor moveWithCells="1" sizeWithCells="1">
                  <from>
                    <xdr:col>3</xdr:col>
                    <xdr:colOff>9525</xdr:colOff>
                    <xdr:row>4</xdr:row>
                    <xdr:rowOff>0</xdr:rowOff>
                  </from>
                  <to>
                    <xdr:col>6</xdr:col>
                    <xdr:colOff>295275</xdr:colOff>
                    <xdr:row>6</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10</vt:i4>
      </vt:variant>
    </vt:vector>
  </HeadingPairs>
  <TitlesOfParts>
    <vt:vector size="13" baseType="lpstr">
      <vt:lpstr>INSTRUCTION</vt:lpstr>
      <vt:lpstr>INPUT</vt:lpstr>
      <vt:lpstr>OUTPUT</vt:lpstr>
      <vt:lpstr>CoolingCoil</vt:lpstr>
      <vt:lpstr>CurveObjName</vt:lpstr>
      <vt:lpstr>CurveType</vt:lpstr>
      <vt:lpstr>DXCoilType</vt:lpstr>
      <vt:lpstr>EPCurveObjName</vt:lpstr>
      <vt:lpstr>HeatingCoil</vt:lpstr>
      <vt:lpstr>IndVariables</vt:lpstr>
      <vt:lpstr>PathName</vt:lpstr>
      <vt:lpstr>RatedCondition</vt:lpstr>
      <vt:lpstr>UnitsType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Bereket Nigusse</dc:creator>
  <cp:lastModifiedBy>Bereket Nigusse</cp:lastModifiedBy>
  <dcterms:created xsi:type="dcterms:W3CDTF">2006-09-16T00:00:00Z</dcterms:created>
  <dcterms:modified xsi:type="dcterms:W3CDTF">2015-03-16T18:34:56Z</dcterms:modified>
</cp:coreProperties>
</file>