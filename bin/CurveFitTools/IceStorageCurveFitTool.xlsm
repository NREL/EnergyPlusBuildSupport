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2905" codeName="{8C4F1C90-05EB-6A55-5F09-09C24B55AC0B}"/>
  <workbookPr codeName="ThisWorkbook" autoCompressPictures="0"/>
  <bookViews>
    <workbookView xWindow="0" yWindow="0" windowWidth="25600" windowHeight="16060"/>
  </bookViews>
  <sheets>
    <sheet name="INSTRUCTION" sheetId="1" r:id="rId1"/>
    <sheet name="INPUT" sheetId="2" r:id="rId2"/>
    <sheet name="OUTPUT" sheetId="3" r:id="rId3"/>
  </sheets>
  <definedNames>
    <definedName name="CurveObjName">INPUT!$B$7</definedName>
    <definedName name="CurveTimeStep">INPUT!$D$11</definedName>
    <definedName name="CurveType">INPUT!$B$4</definedName>
    <definedName name="EPCurveObjName">OUTPUT!$C$2</definedName>
    <definedName name="FreezingTemperature">INPUT!$B$11</definedName>
    <definedName name="IndVariables">INPUT!#REF!</definedName>
    <definedName name="OperationType">INPUT!$B$3</definedName>
    <definedName name="PathName">OUTPUT!$C$3</definedName>
    <definedName name="PerformanceData">INPUT!$B$13</definedName>
    <definedName name="RatedCondition">INPUT!$B$11</definedName>
    <definedName name="TankCapacity">INPUT!$C$11</definedName>
    <definedName name="UnitsType">INPUT!$B$5</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F13" i="2" l="1"/>
  <c r="F14" i="2"/>
  <c r="E13" i="2"/>
  <c r="E14" i="2"/>
  <c r="C14" i="2"/>
  <c r="B14" i="2"/>
  <c r="C10" i="2"/>
  <c r="B10" i="2"/>
</calcChain>
</file>

<file path=xl/sharedStrings.xml><?xml version="1.0" encoding="utf-8"?>
<sst xmlns="http://schemas.openxmlformats.org/spreadsheetml/2006/main" count="97" uniqueCount="50">
  <si>
    <t xml:space="preserve">Curve Type: </t>
  </si>
  <si>
    <t xml:space="preserve">Units: </t>
  </si>
  <si>
    <t>IP</t>
  </si>
  <si>
    <t xml:space="preserve">Performance Data:  </t>
  </si>
  <si>
    <t>R Squared</t>
  </si>
  <si>
    <t>!- Coefficient1 Constant</t>
  </si>
  <si>
    <t>!- Coefficient2 x</t>
  </si>
  <si>
    <t>!- Coefficient3 x**2</t>
  </si>
  <si>
    <t>!- Minimum Value of x</t>
  </si>
  <si>
    <t>!- Maximum Value of x</t>
  </si>
  <si>
    <t>!- Minimum Curve Output</t>
  </si>
  <si>
    <t>!- Maximum Curve Output</t>
  </si>
  <si>
    <t xml:space="preserve">Curve Object Name: </t>
  </si>
  <si>
    <t>!- Name</t>
  </si>
  <si>
    <t xml:space="preserve">Output File Name: </t>
  </si>
  <si>
    <t>oF</t>
  </si>
  <si>
    <t>!- Coefficient4 y</t>
  </si>
  <si>
    <t>!- Minimum Value of y</t>
  </si>
  <si>
    <t>!- Maximum Value of y</t>
  </si>
  <si>
    <t xml:space="preserve">Output File Path: </t>
  </si>
  <si>
    <t xml:space="preserve">Charging or Discharging: </t>
  </si>
  <si>
    <t>QuadraticLinear</t>
  </si>
  <si>
    <t>Freezing Temperature</t>
  </si>
  <si>
    <t>Tank Capacity</t>
  </si>
  <si>
    <t>Tons</t>
  </si>
  <si>
    <t>Curve Fit Time Step</t>
  </si>
  <si>
    <t>h</t>
  </si>
  <si>
    <t>Ton-Hours</t>
  </si>
  <si>
    <t>Tank Inlet Temperature</t>
  </si>
  <si>
    <t>Tank Outlet Temperature</t>
  </si>
  <si>
    <t xml:space="preserve">Curve Fit Data:  </t>
  </si>
  <si>
    <t>GenericIceTES</t>
  </si>
  <si>
    <t>Fraction of Full Charge</t>
  </si>
  <si>
    <t>EPlusCurveObjects</t>
  </si>
  <si>
    <t>Curve:QuadraticLinear</t>
  </si>
  <si>
    <t>GenericIceTESCharging</t>
  </si>
  <si>
    <t>!- Coefficient5 y*x</t>
  </si>
  <si>
    <t>!- Coefficient6 y*x**2</t>
  </si>
  <si>
    <t>!</t>
  </si>
  <si>
    <t>! 0.9952</t>
  </si>
  <si>
    <t>SAMPLE CHARGING DATA</t>
  </si>
  <si>
    <t>SAMPLE RESULTS FOR CHARGING DATA</t>
  </si>
  <si>
    <t>SAMPLE DISCHARGING DATA</t>
  </si>
  <si>
    <t>SAMPLE RESULTS FOR DISCHARGING DATA</t>
  </si>
  <si>
    <t>Discharging</t>
  </si>
  <si>
    <t>! 0.9928</t>
  </si>
  <si>
    <t>GenericIceTESDischarging</t>
  </si>
  <si>
    <t>HD Name:Users:You:Desktop\</t>
  </si>
  <si>
    <t>Charging Rate</t>
  </si>
  <si>
    <t>Discharging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</si>
</sst>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0000000"/>
    <numFmt numFmtId="166" formatCode="0.000"/>
    <numFmt numFmtId="167" formatCode="0.0"/>
    <numFmt numFmtId="168" formatCode="0.0000000000000000"/>
  </numFmts>
  <fonts count="12"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1"/>
      <color rgb="FF0000CC"/>
      <name val="Calibri"/>
      <family val="2"/>
      <scheme val="minor"/>
    </font>
    <font>
      <b/>
      <sz val="16"/>
      <color rgb="FF0000FF"/>
      <name val="Calibri"/>
      <family val="2"/>
    </font>
    <font>
      <b/>
      <sz val="14"/>
      <color rgb="FF0000FF"/>
      <name val="Calibri"/>
      <family val="2"/>
    </font>
    <font>
      <u/>
      <sz val="11"/>
      <color theme="10"/>
      <name val="Calibri"/>
      <family val="2"/>
      <scheme val="minor"/>
    </font>
    <font>
      <u/>
      <sz val="11"/>
      <color theme="11"/>
      <name val="Calibri"/>
      <family val="2"/>
      <scheme val="minor"/>
    </font>
    <font>
      <b/>
      <sz val="11"/>
      <color rgb="FF000000"/>
      <name val="Calibri"/>
      <family val="2"/>
      <scheme val="minor"/>
    </font>
    <font>
      <b/>
      <sz val="12"/>
      <color theme="1"/>
      <name val="Calibri"/>
      <family val="2"/>
      <scheme val="minor"/>
    </font>
    <font>
      <sz val="12"/>
      <color rgb="FF00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s>
  <borders count="13">
    <border>
      <left/>
      <right/>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s>
  <cellStyleXfs count="5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51">
    <xf numFmtId="0" fontId="0" fillId="0" borderId="0" xfId="0"/>
    <xf numFmtId="0" fontId="1" fillId="2" borderId="1" xfId="0" applyFont="1" applyFill="1" applyBorder="1" applyAlignment="1">
      <alignment horizontal="right" vertic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xf numFmtId="0" fontId="3" fillId="0" borderId="0" xfId="0" applyFont="1" applyFill="1" applyAlignment="1">
      <alignment horizontal="right" vertical="center"/>
    </xf>
    <xf numFmtId="166"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5" fontId="0" fillId="0" borderId="0" xfId="0" applyNumberFormat="1" applyFill="1" applyAlignment="1">
      <alignment horizontal="center"/>
    </xf>
    <xf numFmtId="167" fontId="0" fillId="0" borderId="0" xfId="0" applyNumberFormat="1" applyAlignment="1">
      <alignment horizontal="center"/>
    </xf>
    <xf numFmtId="2" fontId="4" fillId="0" borderId="0" xfId="0" applyNumberFormat="1" applyFont="1" applyAlignment="1">
      <alignment horizontal="center"/>
    </xf>
    <xf numFmtId="0" fontId="4" fillId="0" borderId="0" xfId="0" applyFont="1" applyAlignment="1">
      <alignment horizontal="center"/>
    </xf>
    <xf numFmtId="166" fontId="3" fillId="0" borderId="0" xfId="0" applyNumberFormat="1" applyFont="1" applyFill="1" applyAlignment="1">
      <alignment horizontal="right"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5"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2" fontId="0" fillId="0" borderId="0" xfId="0" applyNumberFormat="1" applyAlignment="1">
      <alignment horizontal="right"/>
    </xf>
    <xf numFmtId="168" fontId="0" fillId="0" borderId="0" xfId="0" applyNumberFormat="1" applyAlignment="1">
      <alignment horizontal="center"/>
    </xf>
    <xf numFmtId="0" fontId="2" fillId="2" borderId="2" xfId="0" applyFont="1" applyFill="1" applyBorder="1" applyAlignment="1" applyProtection="1">
      <alignment horizontal="center"/>
      <protection locked="0"/>
    </xf>
    <xf numFmtId="0" fontId="9" fillId="3" borderId="9" xfId="0" applyFont="1" applyFill="1" applyBorder="1" applyAlignment="1">
      <alignment horizontal="center" vertical="center" wrapText="1" shrinkToFit="1"/>
    </xf>
    <xf numFmtId="0" fontId="9" fillId="3" borderId="10" xfId="0" applyFont="1" applyFill="1" applyBorder="1" applyAlignment="1">
      <alignment horizontal="center" vertical="center" wrapText="1" shrinkToFit="1"/>
    </xf>
    <xf numFmtId="0" fontId="9" fillId="3" borderId="6" xfId="0" applyFont="1" applyFill="1" applyBorder="1" applyAlignment="1">
      <alignment horizontal="center" vertical="center" wrapText="1" shrinkToFit="1"/>
    </xf>
    <xf numFmtId="0" fontId="1" fillId="2" borderId="11" xfId="0" applyFont="1" applyFill="1" applyBorder="1" applyAlignment="1">
      <alignment horizontal="center" vertical="center" wrapText="1" shrinkToFit="1"/>
    </xf>
    <xf numFmtId="0" fontId="1" fillId="2" borderId="12" xfId="0" applyFont="1" applyFill="1" applyBorder="1" applyAlignment="1">
      <alignment horizontal="center" vertical="center" wrapText="1" shrinkToFit="1"/>
    </xf>
    <xf numFmtId="0" fontId="1" fillId="2" borderId="2" xfId="0" applyFont="1" applyFill="1" applyBorder="1" applyAlignment="1">
      <alignment horizontal="center" vertical="center" wrapText="1" shrinkToFit="1"/>
    </xf>
    <xf numFmtId="0" fontId="11" fillId="0" borderId="0" xfId="0" applyFont="1"/>
    <xf numFmtId="0" fontId="10" fillId="0" borderId="0" xfId="0" applyFont="1"/>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59</xdr:row>
      <xdr:rowOff>0</xdr:rowOff>
    </xdr:to>
    <xdr:sp macro="" textlink="">
      <xdr:nvSpPr>
        <xdr:cNvPr id="4" name="TextBox 3"/>
        <xdr:cNvSpPr txBox="1"/>
      </xdr:nvSpPr>
      <xdr:spPr>
        <a:xfrm>
          <a:off x="0" y="0"/>
          <a:ext cx="15767050" cy="1049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detailed ice storage performance curves in EnergyPlus curve object format.  This is required by the ThermalStorage:Ice:Detailed object in EnergyPlus for both the charging and the discharging</a:t>
          </a:r>
          <a:r>
            <a:rPr lang="en-US" sz="1100" baseline="0">
              <a:solidFill>
                <a:schemeClr val="dk1"/>
              </a:solidFill>
              <a:effectLst/>
              <a:latin typeface="+mn-lt"/>
              <a:ea typeface="+mn-ea"/>
              <a:cs typeface="+mn-cs"/>
            </a:rPr>
            <a:t> cycle.</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For each set of performance data entered, the charging or discharging performance curves are generated, and these curves are generated as a function of</a:t>
          </a:r>
          <a:r>
            <a:rPr lang="en-US" sz="1100" baseline="0">
              <a:solidFill>
                <a:schemeClr val="dk1"/>
              </a:solidFill>
              <a:effectLst/>
              <a:latin typeface="+mn-lt"/>
              <a:ea typeface="+mn-ea"/>
              <a:cs typeface="+mn-cs"/>
            </a:rPr>
            <a:t> tank inlet and outlet temperature as well as the current fraction of full charge</a:t>
          </a:r>
          <a:r>
            <a:rPr lang="en-US" sz="1100">
              <a:solidFill>
                <a:schemeClr val="dk1"/>
              </a:solidFill>
              <a:effectLst/>
              <a:latin typeface="+mn-lt"/>
              <a:ea typeface="+mn-ea"/>
              <a:cs typeface="+mn-cs"/>
            </a:rPr>
            <a:t>.  The curve types allowed are:</a:t>
          </a:r>
        </a:p>
        <a:p>
          <a:endParaRPr lang="en-US" sz="1100"/>
        </a:p>
        <a:p>
          <a:pPr eaLnBrk="1" fontAlgn="auto" latinLnBrk="0" hangingPunct="1"/>
          <a:r>
            <a:rPr lang="en-US" sz="1100">
              <a:solidFill>
                <a:schemeClr val="dk1"/>
              </a:solidFill>
              <a:effectLst/>
              <a:latin typeface="+mn-lt"/>
              <a:ea typeface="+mn-ea"/>
              <a:cs typeface="+mn-cs"/>
            </a:rPr>
            <a:t>    Charging or Discharging as a Function of</a:t>
          </a:r>
          <a:r>
            <a:rPr lang="en-US" sz="1100" baseline="0">
              <a:solidFill>
                <a:schemeClr val="dk1"/>
              </a:solidFill>
              <a:effectLst/>
              <a:latin typeface="+mn-lt"/>
              <a:ea typeface="+mn-ea"/>
              <a:cs typeface="+mn-cs"/>
            </a:rPr>
            <a:t> Fraction of Full Charge and Log Mean Temperature Difference</a:t>
          </a:r>
          <a:endParaRPr lang="en-US">
            <a:effectLst/>
          </a:endParaRPr>
        </a:p>
        <a:p>
          <a:r>
            <a:rPr lang="en-US" sz="1100">
              <a:solidFill>
                <a:schemeClr val="dk1"/>
              </a:solidFill>
              <a:effectLst/>
              <a:latin typeface="+mn-lt"/>
              <a:ea typeface="+mn-ea"/>
              <a:cs typeface="+mn-cs"/>
            </a:rPr>
            <a:t>       Qstar = a0 + a1*X + a2*X^2 + a3*Y + a4*Y^2 + a5*X*Y</a:t>
          </a:r>
          <a:endParaRPr lang="en-US">
            <a:effectLst/>
          </a:endParaRPr>
        </a:p>
        <a:p>
          <a:r>
            <a:rPr lang="en-US" sz="1100">
              <a:solidFill>
                <a:schemeClr val="dk1"/>
              </a:solidFill>
              <a:effectLst/>
              <a:latin typeface="+mn-lt"/>
              <a:ea typeface="+mn-ea"/>
              <a:cs typeface="+mn-cs"/>
            </a:rPr>
            <a:t>	where X is the Fraction of Full Charge </a:t>
          </a:r>
          <a:r>
            <a:rPr lang="en-US" sz="1100" baseline="0">
              <a:solidFill>
                <a:schemeClr val="dk1"/>
              </a:solidFill>
              <a:effectLst/>
              <a:latin typeface="+mn-lt"/>
              <a:ea typeface="+mn-ea"/>
              <a:cs typeface="+mn-cs"/>
            </a:rPr>
            <a:t>and Y is the dimensionless Log Mean Temperature Difference across the ice tank.  Qstar is the non-dimensional load on the tank which is equal to the load on the tank times the curve time step (usually 1 hour) and divided by the tank capacity.</a:t>
          </a:r>
          <a:endParaRPr lang="en-US" sz="1100" b="0"/>
        </a:p>
        <a:p>
          <a:endParaRPr lang="en-US" sz="1100" b="1"/>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operation mode of the tank, Curve Type, and the Units type. The choices available for each input parameters are described as follows:</a:t>
          </a:r>
        </a:p>
        <a:p>
          <a:r>
            <a:rPr lang="en-US" sz="1100"/>
            <a:t> </a:t>
          </a:r>
        </a:p>
        <a:p>
          <a:r>
            <a:rPr lang="en-US" sz="1100"/>
            <a:t>   Operation Mode of the Tank:  This is more for informational purposes as the choice here will determine</a:t>
          </a:r>
          <a:r>
            <a:rPr lang="en-US" sz="1100" baseline="0"/>
            <a:t> the name of the curve object and thus will differentiate between the two modes.</a:t>
          </a:r>
        </a:p>
        <a:p>
          <a:r>
            <a:rPr lang="en-US" sz="1100"/>
            <a:t>           (1) Charging</a:t>
          </a:r>
        </a:p>
        <a:p>
          <a:r>
            <a:rPr lang="en-US" sz="1100"/>
            <a:t>           (2) Discharging</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currently only one of curve type can be selected</a:t>
          </a:r>
        </a:p>
        <a:p>
          <a:r>
            <a:rPr lang="en-US" sz="1100"/>
            <a:t>           (1) QuadraticLinear </a:t>
          </a:r>
        </a:p>
        <a:p>
          <a:r>
            <a:rPr lang="en-US" sz="1100"/>
            <a:t>   Units: the input data can be either IP or SI</a:t>
          </a:r>
          <a:r>
            <a:rPr lang="en-US" sz="1100" baseline="0"/>
            <a:t> and necessary conversions will be made</a:t>
          </a:r>
          <a:endParaRPr lang="en-US" sz="1100"/>
        </a:p>
        <a:p>
          <a:r>
            <a:rPr lang="en-US" sz="1100"/>
            <a:t>           (1) IP</a:t>
          </a:r>
        </a:p>
        <a:p>
          <a:r>
            <a:rPr lang="en-US" sz="1100"/>
            <a:t>           (2) SI</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System</a:t>
          </a:r>
          <a:r>
            <a:rPr lang="en-US" sz="1100" b="1" baseline="0">
              <a:solidFill>
                <a:schemeClr val="dk1"/>
              </a:solidFill>
              <a:effectLst/>
              <a:latin typeface="+mn-lt"/>
              <a:ea typeface="+mn-ea"/>
              <a:cs typeface="+mn-cs"/>
            </a:rPr>
            <a:t> Data:  </a:t>
          </a:r>
          <a:r>
            <a:rPr lang="en-US" sz="1100" baseline="0">
              <a:solidFill>
                <a:schemeClr val="dk1"/>
              </a:solidFill>
              <a:effectLst/>
              <a:latin typeface="+mn-lt"/>
              <a:ea typeface="+mn-ea"/>
              <a:cs typeface="+mn-cs"/>
            </a:rPr>
            <a:t>The user must provide the freezing temperature (usually 0C or 32F), the tank capacity (in either Ton-Hours or kiloWatt-Hours), and the time step of the curve fit data (usually 1.0 hours).  The input for freezing temperature allows for eutectic systems or brines where the freezing temperature is not equal to the freezing temperature of water.  The tank capacity should be based on manufacturer's data for the device being chosen for simulation.  The time step of the curve fit data is typically one hour and generally does not need to be modified.  This time step must match the time step entered in with the ice storage system data in EnergyPlus.  This is the field "Timestep of the Curve Fit Data" in the ThermalStorage:Ice:Detailed object.</a:t>
          </a:r>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curve type.  Currently, with</a:t>
          </a:r>
          <a:r>
            <a:rPr lang="en-US" sz="1100" baseline="0">
              <a:solidFill>
                <a:schemeClr val="dk1"/>
              </a:solidFill>
              <a:effectLst/>
              <a:latin typeface="+mn-lt"/>
              <a:ea typeface="+mn-ea"/>
              <a:cs typeface="+mn-cs"/>
            </a:rPr>
            <a:t> the QuadraticLinear equation form,</a:t>
          </a:r>
          <a:r>
            <a:rPr lang="en-US" sz="1100">
              <a:solidFill>
                <a:schemeClr val="dk1"/>
              </a:solidFill>
              <a:effectLst/>
              <a:latin typeface="+mn-lt"/>
              <a:ea typeface="+mn-ea"/>
              <a:cs typeface="+mn-cs"/>
            </a:rPr>
            <a:t> the information</a:t>
          </a:r>
          <a:r>
            <a:rPr lang="en-US" sz="1100" baseline="0">
              <a:solidFill>
                <a:schemeClr val="dk1"/>
              </a:solidFill>
              <a:effectLst/>
              <a:latin typeface="+mn-lt"/>
              <a:ea typeface="+mn-ea"/>
              <a:cs typeface="+mn-cs"/>
            </a:rPr>
            <a:t> required by the macro includes the tank inlet and outlet temperatures, the fraction of full charge, and the load on the tank (positive value regardless of whether it is in charging or discharging mode.  Each of the data points will be utilized as follows:</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Tank Inlet and Outlet Temperature: These values are used in conjunction with the freezing temperature and a reference temperature difference to calculate the non-dimensional Log Mean Temperature Difference.  The equation for this is:  LMTDstar = (Tin-Tout)/LN((Tin-Tfreeze)/(Tout-Tfreeze))/DeltaTref where Tin is the tank inlet temperature, Tout is the tank outlet temperature, and Tfreeze is the freezing temperature.  Tin, Tout, and Tfreeze are all user inputs.  DeltaTref is the reference temperature difference which has been set to 10C=18F.  This is equivalent to the assumption made within the EnergyPlus detailed ice storage model.</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Fraction of Full Charge: This is the fraction of full charge (as a decimal fraction between 0.0-1.0) at the current time.  Note that this is fraction of full charge regardless of whether the system is charging or discharging.</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Load on the Tank: The charging or discharging rate to/from the tank for the given tank inlet and outlet temperatures at the specificed fraction of full charge.  This value will be used with the curve time step and tank capacity which the user entered to calculate Qstar.  Qstar = (Load on the Tank)*(Curve Time Step) / (Tank Capacity)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Two samples of performance data set are included below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a:t>
          </a:r>
          <a:r>
            <a:rPr lang="en-US" sz="1100" baseline="0">
              <a:solidFill>
                <a:schemeClr val="dk1"/>
              </a:solidFill>
              <a:effectLst/>
              <a:latin typeface="+mn-lt"/>
              <a:ea typeface="+mn-ea"/>
              <a:cs typeface="+mn-cs"/>
            </a:rPr>
            <a:t>  The curve fit tool can handle any range of inputs and is not limited by the number of data points in the two sample of performance data provided.</a:t>
          </a:r>
          <a:endParaRPr lang="en-US" sz="1100">
            <a:solidFill>
              <a:schemeClr val="dk1"/>
            </a:solidFill>
            <a:effectLst/>
            <a:latin typeface="+mn-lt"/>
            <a:ea typeface="+mn-ea"/>
            <a:cs typeface="+mn-cs"/>
          </a:endParaRPr>
        </a:p>
        <a:p>
          <a:endParaRPr lang="en-US" sz="1100"/>
        </a:p>
        <a:p>
          <a:r>
            <a:rPr lang="en-US" sz="1100" b="1"/>
            <a:t>OUTPUTS:</a:t>
          </a:r>
        </a:p>
        <a:p>
          <a:r>
            <a:rPr lang="en-US" sz="1100">
              <a:solidFill>
                <a:schemeClr val="dk1"/>
              </a:solidFill>
              <a:effectLst/>
              <a:latin typeface="+mn-lt"/>
              <a:ea typeface="+mn-ea"/>
              <a:cs typeface="+mn-cs"/>
            </a:rPr>
            <a:t>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should be noted that the curve fit tool will calculate maximum</a:t>
          </a:r>
          <a:r>
            <a:rPr lang="en-US" sz="1100" baseline="0">
              <a:solidFill>
                <a:schemeClr val="dk1"/>
              </a:solidFill>
              <a:effectLst/>
              <a:latin typeface="+mn-lt"/>
              <a:ea typeface="+mn-ea"/>
              <a:cs typeface="+mn-cs"/>
            </a:rPr>
            <a:t> and minimum values for X (fraction of full charge), Y (LMTDstar), and the curve output (Qstar).  These are based on the performance data provided in the tool.  These minimum and maximum values will be used by EnergyPlus to limit values for these different variables.  For example, if the data provided has a maximum fraction of full charge of 0.7, then the curve fit will have a maximum allowed fraction of full charge of 0.7.  Within EnergyPlus, that means that any fraction of full charge above 0.7 will be set to 0.7.  This is likely undesirable as it will thus not reflect the performance of the ice storage system properly.  There are two ways to resolve this and avoid this misinterpretation of the data.  First, the user should select performance data that will properly bracket the potential performance limits (0-100% fraction of full charge, all temperature ranges, etc.).  This is the best way to ensure proper performance predictions at a wide range of conditions.  Second, the user can manually alter the maximum and minimum values to allow extrapolation beyond the data provided.  While this second approach is not as accurate as the first, it would likely allow better predictions than enforcing the maximum and minimum values and not allowing any deviations outside these ranges.</a:t>
          </a:r>
          <a:endParaRPr lang="en-US" sz="1100">
            <a:solidFill>
              <a:schemeClr val="dk1"/>
            </a:solidFill>
            <a:effectLst/>
            <a:latin typeface="+mn-lt"/>
            <a:ea typeface="+mn-ea"/>
            <a:cs typeface="+mn-cs"/>
          </a:endParaRP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developed using Excel for Macintosh 2011.  This file was tested both on</a:t>
          </a:r>
          <a:r>
            <a:rPr lang="en-US" sz="1100" baseline="0">
              <a:solidFill>
                <a:schemeClr val="dk1"/>
              </a:solidFill>
              <a:effectLst/>
              <a:latin typeface="+mn-lt"/>
              <a:ea typeface="+mn-ea"/>
              <a:cs typeface="+mn-cs"/>
            </a:rPr>
            <a:t> in Mac OSX 10.9.2 in Excel for Macintosh 2011 and in Windows XP (run through Parallels on a Mac) in Excel 2007.</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you are using a Mac OSX machine, you may need to change the name of the output file path name in the output tab to reflect the Mac OSX system.  The last character in this cell should be changed from a "\" to a ":".</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HVAC Curve Fit Tool (CurveFitTool.xlsm)</a:t>
          </a:r>
          <a:r>
            <a:rPr lang="en-US" sz="1100" baseline="0">
              <a:solidFill>
                <a:schemeClr val="dk1"/>
              </a:solidFill>
              <a:effectLst/>
              <a:latin typeface="+mn-lt"/>
              <a:ea typeface="+mn-ea"/>
              <a:cs typeface="+mn-cs"/>
            </a:rPr>
            <a:t> written for HVAC curve fitting by Bereket Nigusse of Florida Solar Energy Center.  The work done in this file is based heavily on the HVAC Curve Fit Tool.</a:t>
          </a:r>
          <a:endParaRPr lang="en-US" sz="110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3</xdr:row>
          <xdr:rowOff>0</xdr:rowOff>
        </xdr:from>
        <xdr:to>
          <xdr:col>4</xdr:col>
          <xdr:colOff>1409700</xdr:colOff>
          <xdr:row>4</xdr:row>
          <xdr:rowOff>127000</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FF"/>
                  </a:solidFill>
                  <a:latin typeface="Calibri"/>
                  <a:ea typeface="Calibri"/>
                  <a:cs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4</xdr:row>
          <xdr:rowOff>0</xdr:rowOff>
        </xdr:from>
        <xdr:to>
          <xdr:col>6</xdr:col>
          <xdr:colOff>292100</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0" u="none" strike="noStrike" baseline="0">
                  <a:solidFill>
                    <a:srgbClr val="0000FF"/>
                  </a:solidFill>
                  <a:latin typeface="Calibri"/>
                  <a:ea typeface="Calibri"/>
                  <a:cs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60:G126"/>
  <sheetViews>
    <sheetView tabSelected="1" workbookViewId="0">
      <selection activeCell="J61" sqref="J61"/>
    </sheetView>
  </sheetViews>
  <sheetFormatPr baseColWidth="10" defaultColWidth="8.83203125" defaultRowHeight="14" x14ac:dyDescent="0"/>
  <cols>
    <col min="1" max="1" width="18.33203125" customWidth="1"/>
    <col min="2" max="2" width="18.1640625" customWidth="1"/>
    <col min="3" max="3" width="19.83203125" customWidth="1"/>
    <col min="4" max="4" width="19.5" customWidth="1"/>
    <col min="5" max="5" width="9.1640625" customWidth="1"/>
    <col min="6" max="6" width="20.83203125" customWidth="1"/>
    <col min="7" max="7" width="19.1640625" customWidth="1"/>
    <col min="8" max="10" width="10.5" customWidth="1"/>
    <col min="11" max="11" width="15.5" customWidth="1"/>
    <col min="12" max="12" width="16.1640625" customWidth="1"/>
    <col min="13" max="13" width="13.5" customWidth="1"/>
    <col min="14" max="14" width="11.83203125" customWidth="1"/>
    <col min="16" max="17" width="10.33203125" customWidth="1"/>
    <col min="18" max="18" width="11.6640625" customWidth="1"/>
    <col min="19" max="19" width="12.5" customWidth="1"/>
    <col min="20" max="22" width="10.33203125" customWidth="1"/>
  </cols>
  <sheetData>
    <row r="60" spans="1:7" ht="15">
      <c r="A60" s="50" t="s">
        <v>40</v>
      </c>
      <c r="F60" s="50" t="s">
        <v>41</v>
      </c>
    </row>
    <row r="62" spans="1:7">
      <c r="A62" s="46" t="s">
        <v>22</v>
      </c>
      <c r="B62" s="47" t="s">
        <v>23</v>
      </c>
      <c r="C62" s="48" t="s">
        <v>25</v>
      </c>
    </row>
    <row r="63" spans="1:7">
      <c r="A63" s="43" t="s">
        <v>15</v>
      </c>
      <c r="B63" s="44" t="s">
        <v>27</v>
      </c>
      <c r="C63" s="45" t="s">
        <v>26</v>
      </c>
      <c r="F63" s="3" t="s">
        <v>14</v>
      </c>
      <c r="G63" t="s">
        <v>33</v>
      </c>
    </row>
    <row r="64" spans="1:7">
      <c r="A64" s="29">
        <v>32</v>
      </c>
      <c r="B64" s="29">
        <v>50</v>
      </c>
      <c r="C64" s="29">
        <v>1</v>
      </c>
      <c r="F64" s="5" t="s">
        <v>19</v>
      </c>
      <c r="G64" t="s">
        <v>47</v>
      </c>
    </row>
    <row r="65" spans="1:7">
      <c r="A65" s="2"/>
      <c r="B65" s="2"/>
      <c r="C65" s="2"/>
      <c r="D65" s="2"/>
    </row>
    <row r="66" spans="1:7" ht="28">
      <c r="A66" s="11" t="s">
        <v>28</v>
      </c>
      <c r="B66" s="12" t="s">
        <v>29</v>
      </c>
      <c r="C66" s="12" t="s">
        <v>32</v>
      </c>
      <c r="D66" s="13" t="s">
        <v>48</v>
      </c>
    </row>
    <row r="67" spans="1:7">
      <c r="A67" s="14" t="s">
        <v>15</v>
      </c>
      <c r="B67" s="15" t="s">
        <v>15</v>
      </c>
      <c r="C67" s="15"/>
      <c r="D67" s="16" t="s">
        <v>24</v>
      </c>
      <c r="F67" s="33" t="s">
        <v>39</v>
      </c>
      <c r="G67" s="34" t="s">
        <v>4</v>
      </c>
    </row>
    <row r="68" spans="1:7" ht="15">
      <c r="A68" s="49">
        <v>27.75</v>
      </c>
      <c r="B68" s="49">
        <v>30</v>
      </c>
      <c r="C68" s="49">
        <v>0.3</v>
      </c>
      <c r="D68">
        <v>4.3</v>
      </c>
      <c r="F68" s="37" t="s">
        <v>34</v>
      </c>
      <c r="G68" s="34"/>
    </row>
    <row r="69" spans="1:7" ht="15">
      <c r="A69" s="49">
        <v>27.75</v>
      </c>
      <c r="B69" s="49">
        <v>30</v>
      </c>
      <c r="C69" s="49">
        <v>0.4</v>
      </c>
      <c r="D69">
        <v>3.5000000000000004</v>
      </c>
      <c r="F69" s="37" t="s">
        <v>35</v>
      </c>
      <c r="G69" s="34" t="s">
        <v>13</v>
      </c>
    </row>
    <row r="70" spans="1:7" ht="15">
      <c r="A70" s="49">
        <v>27.75</v>
      </c>
      <c r="B70" s="49">
        <v>30</v>
      </c>
      <c r="C70" s="49">
        <v>0.5</v>
      </c>
      <c r="D70">
        <v>3</v>
      </c>
      <c r="F70" s="37">
        <v>-3.4838173999999999E-3</v>
      </c>
      <c r="G70" s="34" t="s">
        <v>5</v>
      </c>
    </row>
    <row r="71" spans="1:7" ht="15">
      <c r="A71" s="49">
        <v>27.75</v>
      </c>
      <c r="B71" s="49">
        <v>30</v>
      </c>
      <c r="C71" s="49">
        <v>0.6</v>
      </c>
      <c r="D71">
        <v>2.7</v>
      </c>
      <c r="F71" s="37">
        <v>4.28069061E-2</v>
      </c>
      <c r="G71" s="34" t="s">
        <v>6</v>
      </c>
    </row>
    <row r="72" spans="1:7" ht="15">
      <c r="A72" s="49">
        <v>27.75</v>
      </c>
      <c r="B72" s="49">
        <v>30</v>
      </c>
      <c r="C72" s="49">
        <v>0.7</v>
      </c>
      <c r="D72">
        <v>2.4</v>
      </c>
      <c r="F72" s="37">
        <v>-4.8921695199999997E-2</v>
      </c>
      <c r="G72" s="34" t="s">
        <v>7</v>
      </c>
    </row>
    <row r="73" spans="1:7" ht="15">
      <c r="A73" s="49">
        <v>27.75</v>
      </c>
      <c r="B73" s="49">
        <v>30</v>
      </c>
      <c r="C73" s="49">
        <v>0.8</v>
      </c>
      <c r="D73">
        <v>2.1</v>
      </c>
      <c r="F73" s="37">
        <v>-0.62009513800000005</v>
      </c>
      <c r="G73" s="34" t="s">
        <v>16</v>
      </c>
    </row>
    <row r="74" spans="1:7" ht="15">
      <c r="A74" s="49">
        <v>27.75</v>
      </c>
      <c r="B74" s="49">
        <v>30</v>
      </c>
      <c r="C74" s="49">
        <v>0.9</v>
      </c>
      <c r="D74">
        <v>1.5</v>
      </c>
      <c r="F74" s="37">
        <v>0.54901665919999998</v>
      </c>
      <c r="G74" s="34" t="s">
        <v>36</v>
      </c>
    </row>
    <row r="75" spans="1:7" ht="15">
      <c r="A75" s="49">
        <v>27.75</v>
      </c>
      <c r="B75" s="49">
        <v>30</v>
      </c>
      <c r="C75" s="49">
        <v>1</v>
      </c>
      <c r="D75">
        <v>0.44999999999999996</v>
      </c>
      <c r="F75" s="37">
        <v>-7.0718017999999994E-2</v>
      </c>
      <c r="G75" s="34" t="s">
        <v>37</v>
      </c>
    </row>
    <row r="76" spans="1:7" ht="15">
      <c r="A76" s="49">
        <v>20.75</v>
      </c>
      <c r="B76" s="49">
        <v>28</v>
      </c>
      <c r="C76" s="49">
        <v>0.3</v>
      </c>
      <c r="D76">
        <v>9.5500000000000007</v>
      </c>
      <c r="F76" s="40">
        <v>0.3</v>
      </c>
      <c r="G76" s="34" t="s">
        <v>8</v>
      </c>
    </row>
    <row r="77" spans="1:7" ht="15">
      <c r="A77" s="49">
        <v>20.75</v>
      </c>
      <c r="B77" s="49">
        <v>28</v>
      </c>
      <c r="C77" s="49">
        <v>0.4</v>
      </c>
      <c r="D77">
        <v>8.2000000000000011</v>
      </c>
      <c r="F77" s="40">
        <v>1</v>
      </c>
      <c r="G77" s="34" t="s">
        <v>9</v>
      </c>
    </row>
    <row r="78" spans="1:7" ht="15">
      <c r="A78" s="49">
        <v>20.75</v>
      </c>
      <c r="B78" s="49">
        <v>28</v>
      </c>
      <c r="C78" s="49">
        <v>0.5</v>
      </c>
      <c r="D78">
        <v>7.1999999999999993</v>
      </c>
      <c r="F78" s="40">
        <v>-0.61</v>
      </c>
      <c r="G78" s="34" t="s">
        <v>17</v>
      </c>
    </row>
    <row r="79" spans="1:7" ht="15">
      <c r="A79" s="49">
        <v>20.75</v>
      </c>
      <c r="B79" s="49">
        <v>28</v>
      </c>
      <c r="C79" s="49">
        <v>0.6</v>
      </c>
      <c r="D79">
        <v>6.35</v>
      </c>
      <c r="F79" s="40">
        <v>0</v>
      </c>
      <c r="G79" s="34" t="s">
        <v>18</v>
      </c>
    </row>
    <row r="80" spans="1:7" ht="15">
      <c r="A80" s="49">
        <v>20.75</v>
      </c>
      <c r="B80" s="49">
        <v>28</v>
      </c>
      <c r="C80" s="49">
        <v>0.7</v>
      </c>
      <c r="D80">
        <v>5.55</v>
      </c>
      <c r="F80" s="38">
        <v>8.9999999999999993E-3</v>
      </c>
      <c r="G80" s="34" t="s">
        <v>10</v>
      </c>
    </row>
    <row r="81" spans="1:7" ht="15">
      <c r="A81" s="49">
        <v>20.75</v>
      </c>
      <c r="B81" s="49">
        <v>28</v>
      </c>
      <c r="C81" s="49">
        <v>0.8</v>
      </c>
      <c r="D81">
        <v>4.7</v>
      </c>
      <c r="F81" s="38">
        <v>0.29399999999999998</v>
      </c>
      <c r="G81" s="34" t="s">
        <v>11</v>
      </c>
    </row>
    <row r="82" spans="1:7" ht="15">
      <c r="A82" s="49">
        <v>20.75</v>
      </c>
      <c r="B82" s="49">
        <v>28</v>
      </c>
      <c r="C82" s="49">
        <v>0.9</v>
      </c>
      <c r="D82">
        <v>3.55</v>
      </c>
      <c r="F82" s="33"/>
      <c r="G82" s="34" t="s">
        <v>38</v>
      </c>
    </row>
    <row r="83" spans="1:7" ht="15">
      <c r="A83" s="49">
        <v>20.75</v>
      </c>
      <c r="B83" s="49">
        <v>28</v>
      </c>
      <c r="C83" s="49">
        <v>1</v>
      </c>
      <c r="D83">
        <v>1.95</v>
      </c>
      <c r="F83" s="33"/>
      <c r="G83" s="34" t="s">
        <v>38</v>
      </c>
    </row>
    <row r="84" spans="1:7" ht="15">
      <c r="A84" s="49">
        <v>8.5500000000000007</v>
      </c>
      <c r="B84" s="49">
        <v>28</v>
      </c>
      <c r="C84" s="49">
        <v>0.3</v>
      </c>
      <c r="D84">
        <v>14.7</v>
      </c>
      <c r="F84" s="33"/>
      <c r="G84" s="34" t="s">
        <v>38</v>
      </c>
    </row>
    <row r="85" spans="1:7" ht="15">
      <c r="A85" s="49">
        <v>8.5500000000000007</v>
      </c>
      <c r="B85" s="49">
        <v>28</v>
      </c>
      <c r="C85" s="49">
        <v>0.4</v>
      </c>
      <c r="D85">
        <v>12.55</v>
      </c>
    </row>
    <row r="86" spans="1:7" ht="15">
      <c r="A86" s="49">
        <v>8.5500000000000007</v>
      </c>
      <c r="B86" s="49">
        <v>28</v>
      </c>
      <c r="C86" s="49">
        <v>0.5</v>
      </c>
      <c r="D86">
        <v>11</v>
      </c>
    </row>
    <row r="87" spans="1:7" ht="15">
      <c r="A87" s="49">
        <v>8.5500000000000007</v>
      </c>
      <c r="B87" s="49">
        <v>28</v>
      </c>
      <c r="C87" s="49">
        <v>0.6</v>
      </c>
      <c r="D87">
        <v>9.7000000000000011</v>
      </c>
    </row>
    <row r="88" spans="1:7" ht="15">
      <c r="A88" s="49">
        <v>8.5500000000000007</v>
      </c>
      <c r="B88" s="49">
        <v>28</v>
      </c>
      <c r="C88" s="49">
        <v>0.7</v>
      </c>
      <c r="D88">
        <v>8.4500000000000011</v>
      </c>
    </row>
    <row r="89" spans="1:7" ht="15">
      <c r="A89" s="49">
        <v>8.5500000000000007</v>
      </c>
      <c r="B89" s="49">
        <v>28</v>
      </c>
      <c r="C89" s="49">
        <v>0.8</v>
      </c>
      <c r="D89">
        <v>7.2499999999999991</v>
      </c>
    </row>
    <row r="90" spans="1:7" ht="15">
      <c r="A90" s="49">
        <v>8.5500000000000007</v>
      </c>
      <c r="B90" s="49">
        <v>28</v>
      </c>
      <c r="C90" s="49">
        <v>0.9</v>
      </c>
      <c r="D90">
        <v>5.65</v>
      </c>
    </row>
    <row r="91" spans="1:7" ht="15">
      <c r="A91" s="49">
        <v>8.5500000000000007</v>
      </c>
      <c r="B91" s="49">
        <v>28</v>
      </c>
      <c r="C91" s="49">
        <v>1</v>
      </c>
      <c r="D91">
        <v>3.5000000000000004</v>
      </c>
    </row>
    <row r="95" spans="1:7" ht="15">
      <c r="A95" s="50" t="s">
        <v>42</v>
      </c>
      <c r="F95" s="50" t="s">
        <v>43</v>
      </c>
    </row>
    <row r="97" spans="1:7">
      <c r="A97" s="46" t="s">
        <v>22</v>
      </c>
      <c r="B97" s="47" t="s">
        <v>23</v>
      </c>
      <c r="C97" s="48" t="s">
        <v>25</v>
      </c>
    </row>
    <row r="98" spans="1:7">
      <c r="A98" s="43" t="s">
        <v>15</v>
      </c>
      <c r="B98" s="44" t="s">
        <v>27</v>
      </c>
      <c r="C98" s="45" t="s">
        <v>26</v>
      </c>
      <c r="F98" s="3" t="s">
        <v>14</v>
      </c>
      <c r="G98" t="s">
        <v>33</v>
      </c>
    </row>
    <row r="99" spans="1:7">
      <c r="A99" s="29">
        <v>32</v>
      </c>
      <c r="B99" s="29">
        <v>50</v>
      </c>
      <c r="C99" s="29">
        <v>1</v>
      </c>
      <c r="F99" s="5" t="s">
        <v>19</v>
      </c>
      <c r="G99" t="s">
        <v>47</v>
      </c>
    </row>
    <row r="100" spans="1:7">
      <c r="A100" s="2"/>
      <c r="B100" s="2"/>
      <c r="C100" s="2"/>
      <c r="D100" s="2"/>
    </row>
    <row r="101" spans="1:7" ht="28">
      <c r="A101" s="11" t="s">
        <v>28</v>
      </c>
      <c r="B101" s="12" t="s">
        <v>29</v>
      </c>
      <c r="C101" s="12" t="s">
        <v>32</v>
      </c>
      <c r="D101" s="13" t="s">
        <v>49</v>
      </c>
    </row>
    <row r="102" spans="1:7">
      <c r="A102" s="14" t="s">
        <v>15</v>
      </c>
      <c r="B102" s="15" t="s">
        <v>15</v>
      </c>
      <c r="C102" s="15"/>
      <c r="D102" s="16" t="s">
        <v>24</v>
      </c>
      <c r="F102" s="33" t="s">
        <v>45</v>
      </c>
      <c r="G102" s="34" t="s">
        <v>4</v>
      </c>
    </row>
    <row r="103" spans="1:7">
      <c r="A103">
        <v>37.200000000000003</v>
      </c>
      <c r="B103">
        <v>35</v>
      </c>
      <c r="C103">
        <v>0.7</v>
      </c>
      <c r="D103">
        <v>5.65</v>
      </c>
      <c r="F103" s="37" t="s">
        <v>34</v>
      </c>
      <c r="G103" s="34"/>
    </row>
    <row r="104" spans="1:7">
      <c r="A104">
        <v>37.200000000000003</v>
      </c>
      <c r="B104">
        <v>35</v>
      </c>
      <c r="C104">
        <v>0.6</v>
      </c>
      <c r="D104">
        <v>5</v>
      </c>
      <c r="F104" s="37" t="s">
        <v>46</v>
      </c>
      <c r="G104" s="34" t="s">
        <v>13</v>
      </c>
    </row>
    <row r="105" spans="1:7">
      <c r="A105">
        <v>37.200000000000003</v>
      </c>
      <c r="B105">
        <v>35</v>
      </c>
      <c r="C105">
        <v>0.5</v>
      </c>
      <c r="D105">
        <v>4.45</v>
      </c>
      <c r="F105" s="37">
        <v>-2.4526204000000001E-3</v>
      </c>
      <c r="G105" s="34" t="s">
        <v>5</v>
      </c>
    </row>
    <row r="106" spans="1:7">
      <c r="A106">
        <v>37.200000000000003</v>
      </c>
      <c r="B106">
        <v>35</v>
      </c>
      <c r="C106">
        <v>0.4</v>
      </c>
      <c r="D106">
        <v>4</v>
      </c>
      <c r="F106" s="37">
        <v>7.1390820300000005E-2</v>
      </c>
      <c r="G106" s="34" t="s">
        <v>6</v>
      </c>
    </row>
    <row r="107" spans="1:7">
      <c r="A107">
        <v>37.200000000000003</v>
      </c>
      <c r="B107">
        <v>35</v>
      </c>
      <c r="C107">
        <v>0.30000000000000004</v>
      </c>
      <c r="D107">
        <v>3.4000000000000004</v>
      </c>
      <c r="F107" s="37">
        <v>-9.1095746899999996E-2</v>
      </c>
      <c r="G107" s="34" t="s">
        <v>7</v>
      </c>
    </row>
    <row r="108" spans="1:7">
      <c r="A108">
        <v>37.200000000000003</v>
      </c>
      <c r="B108">
        <v>35</v>
      </c>
      <c r="C108">
        <v>0.19999999999999996</v>
      </c>
      <c r="D108">
        <v>2.8000000000000003</v>
      </c>
      <c r="F108" s="37">
        <v>6.9036563800000006E-2</v>
      </c>
      <c r="G108" s="34" t="s">
        <v>16</v>
      </c>
    </row>
    <row r="109" spans="1:7">
      <c r="A109">
        <v>37.200000000000003</v>
      </c>
      <c r="B109">
        <v>35</v>
      </c>
      <c r="C109">
        <v>9.9999999999999978E-2</v>
      </c>
      <c r="D109">
        <v>2</v>
      </c>
      <c r="F109" s="37">
        <v>0.67334702430000004</v>
      </c>
      <c r="G109" s="34" t="s">
        <v>36</v>
      </c>
    </row>
    <row r="110" spans="1:7">
      <c r="A110">
        <v>37.200000000000003</v>
      </c>
      <c r="B110">
        <v>35</v>
      </c>
      <c r="C110">
        <v>0</v>
      </c>
      <c r="D110">
        <v>0.35000000000000003</v>
      </c>
      <c r="F110" s="37">
        <v>-0.13385012630000001</v>
      </c>
      <c r="G110" s="34" t="s">
        <v>37</v>
      </c>
    </row>
    <row r="111" spans="1:7">
      <c r="A111">
        <v>54.45</v>
      </c>
      <c r="B111">
        <v>40</v>
      </c>
      <c r="C111">
        <v>0.7</v>
      </c>
      <c r="D111">
        <v>18.95</v>
      </c>
      <c r="F111" s="40">
        <v>0</v>
      </c>
      <c r="G111" s="34" t="s">
        <v>8</v>
      </c>
    </row>
    <row r="112" spans="1:7">
      <c r="A112">
        <v>54.45</v>
      </c>
      <c r="B112">
        <v>40</v>
      </c>
      <c r="C112">
        <v>0.6</v>
      </c>
      <c r="D112">
        <v>16.45</v>
      </c>
      <c r="F112" s="40">
        <v>0.7</v>
      </c>
      <c r="G112" s="34" t="s">
        <v>9</v>
      </c>
    </row>
    <row r="113" spans="1:7">
      <c r="A113">
        <v>54.45</v>
      </c>
      <c r="B113">
        <v>40</v>
      </c>
      <c r="C113">
        <v>0.5</v>
      </c>
      <c r="D113">
        <v>14.6</v>
      </c>
      <c r="F113" s="40">
        <v>0.22</v>
      </c>
      <c r="G113" s="34" t="s">
        <v>17</v>
      </c>
    </row>
    <row r="114" spans="1:7">
      <c r="A114">
        <v>54.45</v>
      </c>
      <c r="B114">
        <v>40</v>
      </c>
      <c r="C114">
        <v>0.4</v>
      </c>
      <c r="D114">
        <v>12.65</v>
      </c>
      <c r="F114" s="40">
        <v>0.89</v>
      </c>
      <c r="G114" s="34" t="s">
        <v>18</v>
      </c>
    </row>
    <row r="115" spans="1:7">
      <c r="A115">
        <v>54.45</v>
      </c>
      <c r="B115">
        <v>40</v>
      </c>
      <c r="C115">
        <v>0.30000000000000004</v>
      </c>
      <c r="D115">
        <v>10.6</v>
      </c>
      <c r="F115" s="38">
        <v>7.0000000000000001E-3</v>
      </c>
      <c r="G115" s="34" t="s">
        <v>10</v>
      </c>
    </row>
    <row r="116" spans="1:7">
      <c r="A116">
        <v>54.45</v>
      </c>
      <c r="B116">
        <v>40</v>
      </c>
      <c r="C116">
        <v>0.19999999999999996</v>
      </c>
      <c r="D116">
        <v>8.6499999999999986</v>
      </c>
      <c r="F116" s="38">
        <v>0.437</v>
      </c>
      <c r="G116" s="34" t="s">
        <v>11</v>
      </c>
    </row>
    <row r="117" spans="1:7">
      <c r="A117">
        <v>54.45</v>
      </c>
      <c r="B117">
        <v>40</v>
      </c>
      <c r="C117">
        <v>9.9999999999999978E-2</v>
      </c>
      <c r="D117">
        <v>6.5500000000000007</v>
      </c>
      <c r="F117" s="33"/>
      <c r="G117" s="34" t="s">
        <v>38</v>
      </c>
    </row>
    <row r="118" spans="1:7">
      <c r="A118">
        <v>54.45</v>
      </c>
      <c r="B118">
        <v>40</v>
      </c>
      <c r="C118">
        <v>0</v>
      </c>
      <c r="D118">
        <v>1.6500000000000001</v>
      </c>
      <c r="F118" s="33"/>
      <c r="G118" s="34" t="s">
        <v>38</v>
      </c>
    </row>
    <row r="119" spans="1:7">
      <c r="A119">
        <v>57.95</v>
      </c>
      <c r="B119">
        <v>41</v>
      </c>
      <c r="C119">
        <v>0.7</v>
      </c>
      <c r="D119">
        <v>21.85</v>
      </c>
      <c r="F119" s="33"/>
      <c r="G119" s="34" t="s">
        <v>38</v>
      </c>
    </row>
    <row r="120" spans="1:7">
      <c r="A120">
        <v>57.95</v>
      </c>
      <c r="B120">
        <v>41</v>
      </c>
      <c r="C120">
        <v>0.6</v>
      </c>
      <c r="D120">
        <v>19.25</v>
      </c>
    </row>
    <row r="121" spans="1:7">
      <c r="A121">
        <v>57.95</v>
      </c>
      <c r="B121">
        <v>41</v>
      </c>
      <c r="C121">
        <v>0.5</v>
      </c>
      <c r="D121">
        <v>16.600000000000001</v>
      </c>
    </row>
    <row r="122" spans="1:7">
      <c r="A122">
        <v>57.95</v>
      </c>
      <c r="B122">
        <v>41</v>
      </c>
      <c r="C122">
        <v>0.4</v>
      </c>
      <c r="D122">
        <v>14.099999999999998</v>
      </c>
    </row>
    <row r="123" spans="1:7">
      <c r="A123">
        <v>57.95</v>
      </c>
      <c r="B123">
        <v>41</v>
      </c>
      <c r="C123">
        <v>0.30000000000000004</v>
      </c>
      <c r="D123">
        <v>11.899999999999999</v>
      </c>
    </row>
    <row r="124" spans="1:7">
      <c r="A124">
        <v>57.95</v>
      </c>
      <c r="B124">
        <v>41</v>
      </c>
      <c r="C124">
        <v>0.19999999999999996</v>
      </c>
      <c r="D124">
        <v>9.7000000000000011</v>
      </c>
    </row>
    <row r="125" spans="1:7">
      <c r="A125">
        <v>57.95</v>
      </c>
      <c r="B125">
        <v>41</v>
      </c>
      <c r="C125">
        <v>9.9999999999999978E-2</v>
      </c>
      <c r="D125">
        <v>7.3999999999999995</v>
      </c>
    </row>
    <row r="126" spans="1:7">
      <c r="A126">
        <v>57.95</v>
      </c>
      <c r="B126">
        <v>41</v>
      </c>
      <c r="C126">
        <v>0</v>
      </c>
      <c r="D126">
        <v>1.95</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3:N88"/>
  <sheetViews>
    <sheetView zoomScale="85" zoomScaleNormal="85" zoomScalePageLayoutView="85" workbookViewId="0">
      <selection activeCell="F15" sqref="F15:F38"/>
    </sheetView>
  </sheetViews>
  <sheetFormatPr baseColWidth="10" defaultColWidth="8.83203125" defaultRowHeight="14" x14ac:dyDescent="0"/>
  <cols>
    <col min="1" max="1" width="26.1640625" style="2" customWidth="1"/>
    <col min="2" max="2" width="22.5" style="2" customWidth="1"/>
    <col min="3" max="3" width="22.1640625" style="2" customWidth="1"/>
    <col min="4" max="4" width="20.33203125" style="2" customWidth="1"/>
    <col min="5" max="5" width="21.83203125" style="2" customWidth="1"/>
    <col min="6" max="6" width="17.83203125" style="2" customWidth="1"/>
    <col min="7" max="12" width="18.33203125" style="2" customWidth="1"/>
    <col min="13" max="13" width="18.33203125" customWidth="1"/>
    <col min="14" max="14" width="37.1640625" bestFit="1" customWidth="1"/>
    <col min="15" max="16384" width="8.83203125" style="2"/>
  </cols>
  <sheetData>
    <row r="3" spans="1:14" ht="15">
      <c r="A3" s="1" t="s">
        <v>20</v>
      </c>
      <c r="B3" s="42" t="s">
        <v>44</v>
      </c>
      <c r="J3" s="31"/>
      <c r="K3" s="30"/>
      <c r="L3" s="30"/>
      <c r="M3" s="2"/>
      <c r="N3" s="2"/>
    </row>
    <row r="4" spans="1:14" ht="15">
      <c r="A4" s="3" t="s">
        <v>0</v>
      </c>
      <c r="B4" s="4" t="s">
        <v>21</v>
      </c>
      <c r="H4" s="19"/>
      <c r="J4" s="31"/>
      <c r="K4" s="30"/>
      <c r="L4" s="30"/>
      <c r="M4" s="2"/>
      <c r="N4" s="2"/>
    </row>
    <row r="5" spans="1:14" ht="15">
      <c r="A5" s="5" t="s">
        <v>1</v>
      </c>
      <c r="B5" s="6" t="s">
        <v>2</v>
      </c>
      <c r="C5" s="7"/>
      <c r="D5" s="7"/>
      <c r="E5" s="7"/>
      <c r="J5" s="31"/>
      <c r="K5" s="30"/>
      <c r="L5" s="30"/>
      <c r="M5" s="2"/>
      <c r="N5" s="2"/>
    </row>
    <row r="6" spans="1:14" ht="15">
      <c r="A6" s="35"/>
      <c r="B6" s="36"/>
      <c r="C6" s="7"/>
      <c r="D6" s="7"/>
      <c r="E6" s="7"/>
      <c r="J6" s="31"/>
      <c r="K6" s="30"/>
      <c r="L6" s="30"/>
      <c r="M6" s="2"/>
      <c r="N6" s="2"/>
    </row>
    <row r="7" spans="1:14" ht="18" customHeight="1">
      <c r="A7" s="3" t="s">
        <v>12</v>
      </c>
      <c r="B7" s="39" t="s">
        <v>31</v>
      </c>
      <c r="C7" s="7"/>
      <c r="D7" s="7"/>
      <c r="E7" s="7"/>
      <c r="M7" s="2"/>
      <c r="N7" s="2"/>
    </row>
    <row r="8" spans="1:14">
      <c r="A8" s="8"/>
      <c r="B8" s="9"/>
      <c r="C8" s="7"/>
      <c r="D8" s="7"/>
      <c r="E8" s="7"/>
      <c r="M8" s="2"/>
      <c r="N8" s="2"/>
    </row>
    <row r="9" spans="1:14" ht="23" customHeight="1">
      <c r="A9" s="10" t="s">
        <v>30</v>
      </c>
      <c r="B9" s="46" t="s">
        <v>22</v>
      </c>
      <c r="C9" s="47" t="s">
        <v>23</v>
      </c>
      <c r="D9" s="48" t="s">
        <v>25</v>
      </c>
      <c r="E9"/>
      <c r="M9" s="2"/>
      <c r="N9" s="2"/>
    </row>
    <row r="10" spans="1:14" ht="26" customHeight="1">
      <c r="A10" s="10"/>
      <c r="B10" s="43" t="str">
        <f>IF(UnitsType="IP", "oF","oC")</f>
        <v>oF</v>
      </c>
      <c r="C10" s="44" t="str">
        <f>IF(UnitsType="IP","Ton-Hours","kW-Hours")</f>
        <v>Ton-Hours</v>
      </c>
      <c r="D10" s="45" t="s">
        <v>26</v>
      </c>
      <c r="E10"/>
      <c r="M10" s="2"/>
      <c r="N10" s="2"/>
    </row>
    <row r="11" spans="1:14">
      <c r="B11" s="29">
        <v>32</v>
      </c>
      <c r="C11" s="29">
        <v>50</v>
      </c>
      <c r="D11" s="29">
        <v>1</v>
      </c>
      <c r="E11"/>
      <c r="F11" s="20"/>
      <c r="I11" s="7"/>
      <c r="J11" s="7"/>
      <c r="M11" s="2"/>
      <c r="N11" s="2"/>
    </row>
    <row r="12" spans="1:14">
      <c r="F12" s="21"/>
      <c r="G12" s="21"/>
      <c r="I12" s="7"/>
      <c r="J12" s="7"/>
      <c r="M12" s="2"/>
      <c r="N12" s="2"/>
    </row>
    <row r="13" spans="1:14" ht="35.25" customHeight="1">
      <c r="A13" s="10" t="s">
        <v>3</v>
      </c>
      <c r="B13" s="11" t="s">
        <v>28</v>
      </c>
      <c r="C13" s="12" t="s">
        <v>29</v>
      </c>
      <c r="D13" s="12" t="s">
        <v>32</v>
      </c>
      <c r="E13" s="13" t="str">
        <f>IF(OperationType="Discharging","Discharging Rate","Charging Rate")</f>
        <v>Discharging Rate</v>
      </c>
      <c r="F13" s="13" t="str">
        <f>IF(OperationType="Discharging","Calculated Discharging Rate","Calculated Charging Rate")</f>
        <v>Calculated Discharging Rate</v>
      </c>
      <c r="M13" s="2"/>
      <c r="N13" s="2"/>
    </row>
    <row r="14" spans="1:14">
      <c r="B14" s="14" t="str">
        <f>IF(UnitsType="IP","oF","oC")</f>
        <v>oF</v>
      </c>
      <c r="C14" s="14" t="str">
        <f>IF(UnitsType="IP","oF","oC")</f>
        <v>oF</v>
      </c>
      <c r="D14" s="15"/>
      <c r="E14" s="16" t="str">
        <f>IF(UnitsType="IP","Tons","kW")</f>
        <v>Tons</v>
      </c>
      <c r="F14" s="16" t="str">
        <f>IF(UnitsType="IP","Tons","kW")</f>
        <v>Tons</v>
      </c>
      <c r="I14" s="8"/>
      <c r="M14" s="2"/>
      <c r="N14" s="2"/>
    </row>
    <row r="15" spans="1:14">
      <c r="B15">
        <v>37.200000000000003</v>
      </c>
      <c r="C15">
        <v>35</v>
      </c>
      <c r="D15">
        <v>0.7</v>
      </c>
      <c r="E15">
        <v>5.65</v>
      </c>
      <c r="F15"/>
      <c r="G15" s="22"/>
      <c r="I15" s="22"/>
      <c r="J15" s="22"/>
      <c r="M15" s="2"/>
      <c r="N15" s="2"/>
    </row>
    <row r="16" spans="1:14">
      <c r="B16">
        <v>37.200000000000003</v>
      </c>
      <c r="C16">
        <v>35</v>
      </c>
      <c r="D16">
        <v>0.6</v>
      </c>
      <c r="E16">
        <v>5</v>
      </c>
      <c r="F16"/>
      <c r="G16" s="22"/>
      <c r="I16" s="22"/>
      <c r="J16" s="22"/>
      <c r="M16" s="2"/>
      <c r="N16" s="2"/>
    </row>
    <row r="17" spans="2:14">
      <c r="B17">
        <v>37.200000000000003</v>
      </c>
      <c r="C17">
        <v>35</v>
      </c>
      <c r="D17">
        <v>0.5</v>
      </c>
      <c r="E17">
        <v>4.45</v>
      </c>
      <c r="F17"/>
      <c r="G17" s="22"/>
      <c r="I17" s="22"/>
      <c r="J17" s="22"/>
      <c r="M17" s="2"/>
      <c r="N17" s="2"/>
    </row>
    <row r="18" spans="2:14">
      <c r="B18">
        <v>37.200000000000003</v>
      </c>
      <c r="C18">
        <v>35</v>
      </c>
      <c r="D18">
        <v>0.4</v>
      </c>
      <c r="E18">
        <v>4</v>
      </c>
      <c r="F18"/>
      <c r="G18" s="22"/>
      <c r="I18" s="22"/>
      <c r="J18" s="22"/>
      <c r="M18" s="2"/>
      <c r="N18" s="2"/>
    </row>
    <row r="19" spans="2:14">
      <c r="B19">
        <v>37.200000000000003</v>
      </c>
      <c r="C19">
        <v>35</v>
      </c>
      <c r="D19">
        <v>0.30000000000000004</v>
      </c>
      <c r="E19">
        <v>3.4000000000000004</v>
      </c>
      <c r="F19"/>
      <c r="G19" s="22"/>
      <c r="I19" s="22"/>
      <c r="J19" s="22"/>
      <c r="M19" s="2"/>
      <c r="N19" s="2"/>
    </row>
    <row r="20" spans="2:14">
      <c r="B20">
        <v>37.200000000000003</v>
      </c>
      <c r="C20">
        <v>35</v>
      </c>
      <c r="D20">
        <v>0.19999999999999996</v>
      </c>
      <c r="E20">
        <v>2.8000000000000003</v>
      </c>
      <c r="F20"/>
      <c r="G20" s="22"/>
      <c r="I20" s="22"/>
      <c r="J20" s="22"/>
      <c r="L20" s="24"/>
      <c r="M20" s="2"/>
      <c r="N20" s="2"/>
    </row>
    <row r="21" spans="2:14">
      <c r="B21">
        <v>37.200000000000003</v>
      </c>
      <c r="C21">
        <v>35</v>
      </c>
      <c r="D21">
        <v>9.9999999999999978E-2</v>
      </c>
      <c r="E21">
        <v>2</v>
      </c>
      <c r="F21"/>
      <c r="G21" s="25"/>
      <c r="I21" s="25"/>
      <c r="J21" s="25"/>
      <c r="L21" s="24"/>
      <c r="M21" s="2"/>
      <c r="N21" s="2"/>
    </row>
    <row r="22" spans="2:14">
      <c r="B22">
        <v>37.200000000000003</v>
      </c>
      <c r="C22">
        <v>35</v>
      </c>
      <c r="D22">
        <v>0</v>
      </c>
      <c r="E22">
        <v>0.35000000000000003</v>
      </c>
      <c r="F22"/>
      <c r="G22" s="26"/>
      <c r="I22" s="26"/>
      <c r="J22" s="26"/>
      <c r="L22" s="8"/>
      <c r="M22" s="2"/>
      <c r="N22" s="2"/>
    </row>
    <row r="23" spans="2:14">
      <c r="B23">
        <v>54.45</v>
      </c>
      <c r="C23">
        <v>40</v>
      </c>
      <c r="D23">
        <v>0.7</v>
      </c>
      <c r="E23">
        <v>18.95</v>
      </c>
      <c r="F23"/>
      <c r="G23" s="26"/>
      <c r="I23" s="26"/>
      <c r="J23" s="26"/>
      <c r="L23" s="8"/>
      <c r="M23" s="2"/>
      <c r="N23" s="2"/>
    </row>
    <row r="24" spans="2:14">
      <c r="B24">
        <v>54.45</v>
      </c>
      <c r="C24">
        <v>40</v>
      </c>
      <c r="D24">
        <v>0.6</v>
      </c>
      <c r="E24">
        <v>16.45</v>
      </c>
      <c r="F24"/>
      <c r="G24" s="26"/>
      <c r="I24" s="26"/>
      <c r="J24" s="26"/>
      <c r="L24" s="9"/>
      <c r="M24" s="2"/>
      <c r="N24" s="2"/>
    </row>
    <row r="25" spans="2:14">
      <c r="B25">
        <v>54.45</v>
      </c>
      <c r="C25">
        <v>40</v>
      </c>
      <c r="D25">
        <v>0.5</v>
      </c>
      <c r="E25">
        <v>14.6</v>
      </c>
      <c r="F25"/>
      <c r="L25" s="9"/>
      <c r="M25" s="2"/>
      <c r="N25" s="2"/>
    </row>
    <row r="26" spans="2:14">
      <c r="B26">
        <v>54.45</v>
      </c>
      <c r="C26">
        <v>40</v>
      </c>
      <c r="D26">
        <v>0.4</v>
      </c>
      <c r="E26">
        <v>12.65</v>
      </c>
      <c r="F26"/>
      <c r="L26" s="9"/>
      <c r="M26" s="2"/>
      <c r="N26" s="2"/>
    </row>
    <row r="27" spans="2:14">
      <c r="B27">
        <v>54.45</v>
      </c>
      <c r="C27">
        <v>40</v>
      </c>
      <c r="D27">
        <v>0.30000000000000004</v>
      </c>
      <c r="E27">
        <v>10.6</v>
      </c>
      <c r="F27"/>
      <c r="G27" s="8"/>
      <c r="I27" s="23"/>
      <c r="J27" s="8"/>
      <c r="L27" s="21"/>
      <c r="M27" s="2"/>
      <c r="N27" s="2"/>
    </row>
    <row r="28" spans="2:14">
      <c r="B28">
        <v>54.45</v>
      </c>
      <c r="C28">
        <v>40</v>
      </c>
      <c r="D28">
        <v>0.19999999999999996</v>
      </c>
      <c r="E28">
        <v>8.6499999999999986</v>
      </c>
      <c r="F28"/>
      <c r="G28" s="8"/>
      <c r="I28" s="23"/>
      <c r="J28" s="8"/>
      <c r="L28" s="21"/>
      <c r="M28" s="2"/>
      <c r="N28" s="2"/>
    </row>
    <row r="29" spans="2:14">
      <c r="B29">
        <v>54.45</v>
      </c>
      <c r="C29">
        <v>40</v>
      </c>
      <c r="D29">
        <v>9.9999999999999978E-2</v>
      </c>
      <c r="E29">
        <v>6.5500000000000007</v>
      </c>
      <c r="F29"/>
      <c r="G29" s="8"/>
      <c r="I29" s="23"/>
      <c r="J29" s="8"/>
      <c r="L29" s="21"/>
      <c r="M29" s="2"/>
      <c r="N29" s="2"/>
    </row>
    <row r="30" spans="2:14">
      <c r="B30">
        <v>54.45</v>
      </c>
      <c r="C30">
        <v>40</v>
      </c>
      <c r="D30">
        <v>0</v>
      </c>
      <c r="E30">
        <v>1.6500000000000001</v>
      </c>
      <c r="F30"/>
      <c r="I30" s="23"/>
      <c r="L30" s="21"/>
      <c r="M30" s="2"/>
      <c r="N30" s="2"/>
    </row>
    <row r="31" spans="2:14">
      <c r="B31">
        <v>57.95</v>
      </c>
      <c r="C31">
        <v>41</v>
      </c>
      <c r="D31">
        <v>0.7</v>
      </c>
      <c r="E31">
        <v>21.85</v>
      </c>
      <c r="F31"/>
      <c r="I31" s="23"/>
      <c r="L31" s="21"/>
      <c r="M31" s="2"/>
      <c r="N31" s="2"/>
    </row>
    <row r="32" spans="2:14">
      <c r="B32">
        <v>57.95</v>
      </c>
      <c r="C32">
        <v>41</v>
      </c>
      <c r="D32">
        <v>0.6</v>
      </c>
      <c r="E32">
        <v>19.25</v>
      </c>
      <c r="F32"/>
      <c r="G32" s="20"/>
      <c r="I32" s="23"/>
      <c r="L32" s="21"/>
      <c r="M32" s="2"/>
      <c r="N32" s="2"/>
    </row>
    <row r="33" spans="1:14">
      <c r="B33">
        <v>57.95</v>
      </c>
      <c r="C33">
        <v>41</v>
      </c>
      <c r="D33">
        <v>0.5</v>
      </c>
      <c r="E33">
        <v>16.600000000000001</v>
      </c>
      <c r="F33"/>
      <c r="I33" s="23"/>
      <c r="L33" s="21"/>
      <c r="M33" s="2"/>
      <c r="N33" s="2"/>
    </row>
    <row r="34" spans="1:14">
      <c r="B34">
        <v>57.95</v>
      </c>
      <c r="C34">
        <v>41</v>
      </c>
      <c r="D34">
        <v>0.4</v>
      </c>
      <c r="E34">
        <v>14.099999999999998</v>
      </c>
      <c r="F34"/>
      <c r="G34" s="22"/>
      <c r="I34" s="22"/>
      <c r="J34" s="22"/>
      <c r="L34" s="21"/>
      <c r="M34" s="2"/>
      <c r="N34" s="2"/>
    </row>
    <row r="35" spans="1:14">
      <c r="B35">
        <v>57.95</v>
      </c>
      <c r="C35">
        <v>41</v>
      </c>
      <c r="D35">
        <v>0.30000000000000004</v>
      </c>
      <c r="E35">
        <v>11.899999999999999</v>
      </c>
      <c r="F35"/>
      <c r="G35" s="22"/>
      <c r="I35" s="22"/>
      <c r="J35" s="22"/>
      <c r="L35" s="9"/>
      <c r="M35" s="2"/>
      <c r="N35" s="2"/>
    </row>
    <row r="36" spans="1:14">
      <c r="B36">
        <v>57.95</v>
      </c>
      <c r="C36">
        <v>41</v>
      </c>
      <c r="D36">
        <v>0.19999999999999996</v>
      </c>
      <c r="E36">
        <v>9.7000000000000011</v>
      </c>
      <c r="F36"/>
      <c r="G36" s="22"/>
      <c r="I36" s="22"/>
      <c r="J36" s="22"/>
      <c r="L36" s="9"/>
      <c r="M36" s="2"/>
      <c r="N36" s="2"/>
    </row>
    <row r="37" spans="1:14">
      <c r="A37" s="8"/>
      <c r="B37">
        <v>57.95</v>
      </c>
      <c r="C37">
        <v>41</v>
      </c>
      <c r="D37">
        <v>9.9999999999999978E-2</v>
      </c>
      <c r="E37">
        <v>7.3999999999999995</v>
      </c>
      <c r="F37"/>
      <c r="G37" s="22"/>
      <c r="I37" s="22"/>
      <c r="J37" s="22"/>
      <c r="L37" s="9"/>
      <c r="M37" s="2"/>
      <c r="N37" s="2"/>
    </row>
    <row r="38" spans="1:14">
      <c r="A38" s="27"/>
      <c r="B38">
        <v>57.95</v>
      </c>
      <c r="C38">
        <v>41</v>
      </c>
      <c r="D38">
        <v>0</v>
      </c>
      <c r="E38">
        <v>1.95</v>
      </c>
      <c r="F38"/>
      <c r="G38" s="22"/>
      <c r="I38" s="22"/>
      <c r="J38" s="22"/>
      <c r="L38" s="9"/>
      <c r="M38" s="2"/>
      <c r="N38" s="2"/>
    </row>
    <row r="39" spans="1:14">
      <c r="A39" s="8"/>
      <c r="B39" s="9"/>
      <c r="C39" s="9"/>
      <c r="D39" s="9"/>
      <c r="E39" s="9"/>
      <c r="F39" s="17"/>
      <c r="G39" s="22"/>
      <c r="I39" s="22"/>
      <c r="J39" s="22"/>
      <c r="L39" s="9"/>
      <c r="M39" s="2"/>
      <c r="N39" s="2"/>
    </row>
    <row r="40" spans="1:14">
      <c r="A40" s="8"/>
      <c r="B40" s="9"/>
      <c r="C40" s="9"/>
      <c r="D40" s="9"/>
      <c r="E40" s="9"/>
      <c r="F40" s="17"/>
      <c r="G40" s="25"/>
      <c r="I40" s="25"/>
      <c r="J40" s="25"/>
      <c r="L40" s="9"/>
      <c r="M40" s="2"/>
      <c r="N40" s="2"/>
    </row>
    <row r="41" spans="1:14">
      <c r="A41" s="8"/>
      <c r="B41" s="9"/>
      <c r="C41" s="9"/>
      <c r="D41" s="9"/>
      <c r="E41" s="9"/>
      <c r="F41" s="17"/>
      <c r="G41" s="26"/>
      <c r="I41" s="26"/>
      <c r="J41" s="26"/>
      <c r="L41" s="9"/>
      <c r="M41" s="2"/>
      <c r="N41" s="2"/>
    </row>
    <row r="42" spans="1:14">
      <c r="A42" s="8"/>
      <c r="B42" s="9"/>
      <c r="C42" s="9"/>
      <c r="D42" s="9"/>
      <c r="E42" s="9"/>
      <c r="F42" s="17"/>
      <c r="G42" s="26"/>
      <c r="I42" s="26"/>
      <c r="J42" s="26"/>
      <c r="L42" s="9"/>
      <c r="M42" s="2"/>
      <c r="N42" s="2"/>
    </row>
    <row r="43" spans="1:14">
      <c r="A43" s="8"/>
      <c r="B43" s="21"/>
      <c r="C43" s="18"/>
      <c r="D43" s="21"/>
      <c r="E43" s="21"/>
      <c r="F43" s="17"/>
      <c r="G43" s="26"/>
      <c r="I43" s="26"/>
      <c r="J43" s="26"/>
      <c r="K43" s="21"/>
      <c r="L43" s="21"/>
      <c r="M43" s="2"/>
      <c r="N43" s="2"/>
    </row>
    <row r="44" spans="1:14">
      <c r="A44" s="8"/>
      <c r="B44" s="9"/>
      <c r="C44" s="9"/>
      <c r="D44" s="9"/>
      <c r="E44" s="9"/>
      <c r="F44" s="17"/>
      <c r="J44" s="32"/>
      <c r="K44" s="9"/>
      <c r="L44" s="9"/>
      <c r="M44" s="2"/>
      <c r="N44" s="2"/>
    </row>
    <row r="45" spans="1:14">
      <c r="A45" s="8"/>
      <c r="B45" s="9"/>
      <c r="C45" s="9"/>
      <c r="D45" s="9"/>
      <c r="E45" s="9"/>
      <c r="F45" s="17"/>
      <c r="M45" s="2"/>
      <c r="N45" s="2"/>
    </row>
    <row r="46" spans="1:14">
      <c r="A46" s="8"/>
      <c r="B46" s="21"/>
      <c r="C46" s="18"/>
      <c r="D46" s="21"/>
      <c r="E46" s="21"/>
      <c r="G46" s="8"/>
      <c r="I46" s="8"/>
      <c r="M46" s="2"/>
      <c r="N46" s="2"/>
    </row>
    <row r="47" spans="1:14">
      <c r="A47" s="8"/>
      <c r="B47" s="9"/>
      <c r="C47" s="9"/>
      <c r="D47" s="9"/>
      <c r="E47" s="9"/>
      <c r="G47" s="8"/>
      <c r="I47" s="8"/>
      <c r="M47" s="2"/>
      <c r="N47" s="2"/>
    </row>
    <row r="48" spans="1:14">
      <c r="A48" s="8"/>
      <c r="B48" s="9"/>
      <c r="C48" s="9"/>
      <c r="D48" s="9"/>
      <c r="E48" s="9"/>
      <c r="G48" s="8"/>
      <c r="I48" s="8"/>
      <c r="M48" s="2"/>
      <c r="N48" s="2"/>
    </row>
    <row r="49" spans="1:14">
      <c r="A49" s="8"/>
      <c r="B49" s="7"/>
      <c r="C49" s="7"/>
      <c r="D49" s="7"/>
      <c r="E49" s="7"/>
      <c r="M49" s="2"/>
      <c r="N49" s="2"/>
    </row>
    <row r="50" spans="1:14">
      <c r="A50" s="8"/>
      <c r="B50" s="7"/>
      <c r="C50" s="7"/>
      <c r="D50" s="7"/>
      <c r="E50" s="7"/>
      <c r="M50" s="2"/>
      <c r="N50" s="2"/>
    </row>
    <row r="51" spans="1:14">
      <c r="A51" s="8"/>
      <c r="B51" s="7"/>
      <c r="C51" s="7"/>
      <c r="D51" s="7"/>
      <c r="E51" s="7"/>
      <c r="M51" s="2"/>
      <c r="N51" s="2"/>
    </row>
    <row r="52" spans="1:14">
      <c r="B52" s="7"/>
      <c r="C52" s="7"/>
      <c r="D52" s="7"/>
      <c r="E52" s="7"/>
      <c r="M52" s="2"/>
      <c r="N52" s="2"/>
    </row>
    <row r="53" spans="1:14">
      <c r="B53" s="7"/>
      <c r="C53" s="7"/>
      <c r="D53" s="7"/>
      <c r="E53" s="7"/>
      <c r="M53" s="2"/>
      <c r="N53" s="2"/>
    </row>
    <row r="54" spans="1:14">
      <c r="B54" s="7"/>
      <c r="C54" s="7"/>
      <c r="D54" s="7"/>
      <c r="E54" s="7"/>
      <c r="M54" s="2"/>
      <c r="N54" s="2"/>
    </row>
    <row r="55" spans="1:14">
      <c r="B55" s="7"/>
      <c r="C55" s="7"/>
      <c r="D55" s="7"/>
      <c r="E55" s="7"/>
      <c r="M55" s="2"/>
      <c r="N55" s="2"/>
    </row>
    <row r="56" spans="1:14">
      <c r="B56" s="7"/>
      <c r="C56" s="7"/>
      <c r="D56" s="7"/>
      <c r="E56" s="7"/>
      <c r="M56" s="2"/>
      <c r="N56" s="2"/>
    </row>
    <row r="57" spans="1:14">
      <c r="B57" s="7"/>
      <c r="C57" s="7"/>
      <c r="D57" s="7"/>
      <c r="E57" s="7"/>
      <c r="M57" s="2"/>
      <c r="N57" s="2"/>
    </row>
    <row r="58" spans="1:14">
      <c r="B58" s="7"/>
      <c r="C58" s="7"/>
      <c r="D58" s="7"/>
      <c r="E58" s="7"/>
      <c r="M58" s="2"/>
      <c r="N58" s="2"/>
    </row>
    <row r="59" spans="1:14">
      <c r="B59" s="7"/>
      <c r="C59" s="7"/>
      <c r="D59" s="7"/>
      <c r="E59" s="7"/>
      <c r="F59" s="28"/>
      <c r="M59" s="2"/>
      <c r="N59" s="2"/>
    </row>
    <row r="60" spans="1:14">
      <c r="B60" s="7"/>
      <c r="C60" s="7"/>
      <c r="D60" s="7"/>
      <c r="E60" s="7"/>
      <c r="F60" s="28"/>
      <c r="M60" s="2"/>
      <c r="N60" s="2"/>
    </row>
    <row r="61" spans="1:14">
      <c r="B61" s="7"/>
      <c r="C61" s="7"/>
      <c r="D61" s="7"/>
      <c r="E61" s="7"/>
      <c r="F61" s="28"/>
      <c r="M61" s="2"/>
      <c r="N61" s="2"/>
    </row>
    <row r="62" spans="1:14">
      <c r="B62" s="7"/>
      <c r="C62" s="7"/>
      <c r="D62" s="7"/>
      <c r="E62" s="7"/>
      <c r="F62" s="28"/>
      <c r="M62" s="2"/>
      <c r="N62" s="2"/>
    </row>
    <row r="63" spans="1:14">
      <c r="B63" s="7"/>
      <c r="C63" s="7"/>
      <c r="D63" s="7"/>
      <c r="E63" s="7"/>
      <c r="F63" s="28"/>
      <c r="M63" s="2"/>
      <c r="N63" s="2"/>
    </row>
    <row r="64" spans="1:14">
      <c r="B64" s="7"/>
      <c r="C64" s="7"/>
      <c r="D64" s="7"/>
      <c r="E64" s="7"/>
      <c r="F64" s="28"/>
      <c r="M64" s="2"/>
      <c r="N64" s="2"/>
    </row>
    <row r="65" spans="2:14">
      <c r="B65" s="7"/>
      <c r="C65" s="7"/>
      <c r="D65" s="7"/>
      <c r="E65" s="7"/>
      <c r="F65" s="28"/>
      <c r="M65" s="2"/>
      <c r="N65" s="2"/>
    </row>
    <row r="66" spans="2:14">
      <c r="B66" s="7"/>
      <c r="C66" s="7"/>
      <c r="D66" s="7"/>
      <c r="E66" s="7"/>
      <c r="F66" s="28"/>
      <c r="M66" s="2"/>
      <c r="N66" s="2"/>
    </row>
    <row r="67" spans="2:14">
      <c r="B67" s="7"/>
      <c r="C67" s="7"/>
      <c r="D67" s="7"/>
      <c r="E67" s="7"/>
      <c r="F67" s="28"/>
      <c r="M67" s="2"/>
      <c r="N67" s="2"/>
    </row>
    <row r="68" spans="2:14">
      <c r="B68" s="7"/>
      <c r="C68" s="7"/>
      <c r="D68" s="7"/>
      <c r="E68" s="7"/>
      <c r="F68" s="28"/>
      <c r="M68" s="2"/>
      <c r="N68" s="2"/>
    </row>
    <row r="69" spans="2:14">
      <c r="B69" s="7"/>
      <c r="C69" s="7"/>
      <c r="D69" s="7"/>
      <c r="E69" s="7"/>
      <c r="F69" s="28"/>
      <c r="M69" s="2"/>
      <c r="N69" s="2"/>
    </row>
    <row r="70" spans="2:14">
      <c r="B70" s="7"/>
      <c r="C70" s="7"/>
      <c r="D70" s="7"/>
      <c r="E70" s="7"/>
      <c r="F70" s="28"/>
      <c r="M70" s="2"/>
      <c r="N70" s="2"/>
    </row>
    <row r="71" spans="2:14">
      <c r="E71" s="28"/>
      <c r="F71" s="28"/>
      <c r="M71" s="2"/>
      <c r="N71" s="2"/>
    </row>
    <row r="72" spans="2:14">
      <c r="E72" s="28"/>
      <c r="F72" s="28"/>
      <c r="M72" s="2"/>
      <c r="N72" s="2"/>
    </row>
    <row r="73" spans="2:14">
      <c r="E73" s="28"/>
      <c r="F73" s="28"/>
      <c r="M73" s="2"/>
      <c r="N73" s="2"/>
    </row>
    <row r="74" spans="2:14">
      <c r="E74" s="28"/>
      <c r="F74" s="28"/>
      <c r="M74" s="2"/>
      <c r="N74" s="2"/>
    </row>
    <row r="75" spans="2:14">
      <c r="E75" s="28"/>
      <c r="F75" s="28"/>
      <c r="M75" s="2"/>
      <c r="N75" s="2"/>
    </row>
    <row r="76" spans="2:14">
      <c r="E76" s="28"/>
      <c r="F76" s="28"/>
      <c r="M76" s="2"/>
      <c r="N76" s="2"/>
    </row>
    <row r="77" spans="2:14">
      <c r="E77" s="28"/>
      <c r="F77" s="28"/>
      <c r="M77" s="2"/>
      <c r="N77" s="2"/>
    </row>
    <row r="78" spans="2:14">
      <c r="E78" s="28"/>
      <c r="F78" s="28"/>
      <c r="M78" s="2"/>
      <c r="N78" s="2"/>
    </row>
    <row r="79" spans="2:14">
      <c r="E79" s="28"/>
      <c r="F79" s="28"/>
      <c r="M79" s="2"/>
      <c r="N79" s="2"/>
    </row>
    <row r="80" spans="2:14">
      <c r="E80" s="28"/>
      <c r="F80" s="28"/>
      <c r="M80" s="2"/>
      <c r="N80" s="2"/>
    </row>
    <row r="81" spans="5:14">
      <c r="E81" s="28"/>
      <c r="F81" s="28"/>
      <c r="M81" s="2"/>
      <c r="N81" s="2"/>
    </row>
    <row r="82" spans="5:14">
      <c r="E82" s="28"/>
      <c r="F82" s="28"/>
      <c r="M82" s="2"/>
      <c r="N82" s="2"/>
    </row>
    <row r="83" spans="5:14">
      <c r="E83" s="28"/>
      <c r="F83" s="28"/>
      <c r="M83" s="2"/>
      <c r="N83" s="2"/>
    </row>
    <row r="84" spans="5:14">
      <c r="E84" s="28"/>
      <c r="F84" s="28"/>
      <c r="M84" s="2"/>
      <c r="N84" s="2"/>
    </row>
    <row r="85" spans="5:14">
      <c r="E85" s="28"/>
      <c r="F85" s="28"/>
      <c r="M85" s="2"/>
      <c r="N85" s="2"/>
    </row>
    <row r="86" spans="5:14">
      <c r="E86" s="28"/>
      <c r="F86" s="28"/>
      <c r="M86" s="2"/>
      <c r="N86" s="2"/>
    </row>
    <row r="87" spans="5:14">
      <c r="E87" s="28"/>
      <c r="F87" s="28"/>
      <c r="M87" s="2"/>
      <c r="N87" s="2"/>
    </row>
    <row r="88" spans="5:14">
      <c r="E88" s="28"/>
      <c r="F88" s="28"/>
      <c r="M88" s="2"/>
      <c r="N88" s="2"/>
    </row>
  </sheetData>
  <dataValidations disablePrompts="1" count="3">
    <dataValidation type="list" errorStyle="information" allowBlank="1" showInputMessage="1" showErrorMessage="1" promptTitle="Curve Choice" sqref="B3">
      <formula1>"Charging, Discharging"</formula1>
    </dataValidation>
    <dataValidation type="list" allowBlank="1" showInputMessage="1" showErrorMessage="1" sqref="B4">
      <formula1>"QuadraticLinear"</formula1>
    </dataValidation>
    <dataValidation type="list" allowBlank="1" showInputMessage="1" showErrorMessage="1" sqref="B5">
      <formula1>"IP, SI"</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68" r:id="rId3" name="Button 20">
              <controlPr defaultSize="0" print="0" autoFill="0" autoPict="0" macro="[0]!ManageCurveFit">
                <anchor moveWithCells="1" sizeWithCells="1">
                  <from>
                    <xdr:col>3</xdr:col>
                    <xdr:colOff>101600</xdr:colOff>
                    <xdr:row>3</xdr:row>
                    <xdr:rowOff>0</xdr:rowOff>
                  </from>
                  <to>
                    <xdr:col>4</xdr:col>
                    <xdr:colOff>1409700</xdr:colOff>
                    <xdr:row>4</xdr:row>
                    <xdr:rowOff>127000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M49"/>
  <sheetViews>
    <sheetView zoomScale="85" zoomScaleNormal="85" zoomScalePageLayoutView="85" workbookViewId="0">
      <selection activeCell="C2" sqref="C2"/>
    </sheetView>
  </sheetViews>
  <sheetFormatPr baseColWidth="10" defaultColWidth="8.83203125" defaultRowHeight="14" x14ac:dyDescent="0"/>
  <cols>
    <col min="1" max="1" width="3.1640625" customWidth="1"/>
    <col min="2" max="2" width="28.5" bestFit="1" customWidth="1"/>
    <col min="3" max="3" width="24.5" bestFit="1" customWidth="1"/>
    <col min="4" max="8" width="9.6640625" customWidth="1"/>
    <col min="9" max="9" width="13.5" customWidth="1"/>
    <col min="10" max="10" width="12.33203125" customWidth="1"/>
    <col min="13" max="13" width="47" customWidth="1"/>
  </cols>
  <sheetData>
    <row r="2" spans="2:13">
      <c r="B2" s="3" t="s">
        <v>14</v>
      </c>
    </row>
    <row r="3" spans="2:13">
      <c r="B3" s="5" t="s">
        <v>19</v>
      </c>
    </row>
    <row r="6" spans="2:13">
      <c r="B6" s="33"/>
    </row>
    <row r="7" spans="2:13">
      <c r="B7" s="33"/>
      <c r="E7" s="33"/>
    </row>
    <row r="8" spans="2:13">
      <c r="B8" s="33"/>
      <c r="E8" s="33"/>
    </row>
    <row r="9" spans="2:13">
      <c r="B9" s="33"/>
      <c r="E9" s="33"/>
      <c r="M9" s="41"/>
    </row>
    <row r="10" spans="2:13">
      <c r="B10" s="33"/>
      <c r="E10" s="33"/>
      <c r="M10" s="41"/>
    </row>
    <row r="11" spans="2:13">
      <c r="B11" s="33"/>
      <c r="E11" s="33"/>
      <c r="M11" s="41"/>
    </row>
    <row r="12" spans="2:13">
      <c r="B12" s="33"/>
      <c r="E12" s="33"/>
      <c r="M12" s="41"/>
    </row>
    <row r="13" spans="2:13">
      <c r="B13" s="33"/>
      <c r="E13" s="33"/>
      <c r="M13" s="41"/>
    </row>
    <row r="14" spans="2:13">
      <c r="B14" s="33"/>
      <c r="E14" s="33"/>
      <c r="M14" s="41"/>
    </row>
    <row r="15" spans="2:13">
      <c r="B15" s="33"/>
      <c r="E15" s="33"/>
      <c r="M15" s="41"/>
    </row>
    <row r="16" spans="2:13">
      <c r="B16" s="33"/>
      <c r="E16" s="33"/>
      <c r="M16" s="41"/>
    </row>
    <row r="17" spans="2:13">
      <c r="B17" s="33"/>
      <c r="E17" s="33"/>
      <c r="M17" s="41"/>
    </row>
    <row r="18" spans="2:13">
      <c r="B18" s="33"/>
      <c r="E18" s="33"/>
      <c r="M18" s="41"/>
    </row>
    <row r="19" spans="2:13">
      <c r="B19" s="33"/>
      <c r="E19" s="33"/>
      <c r="M19" s="41"/>
    </row>
    <row r="20" spans="2:13">
      <c r="B20" s="33"/>
      <c r="E20" s="33"/>
      <c r="M20" s="41"/>
    </row>
    <row r="21" spans="2:13">
      <c r="B21" s="33"/>
      <c r="E21" s="33"/>
    </row>
    <row r="22" spans="2:13">
      <c r="B22" s="33"/>
    </row>
    <row r="23" spans="2:13">
      <c r="B23" s="33"/>
    </row>
    <row r="24" spans="2:13">
      <c r="B24" s="33"/>
      <c r="C24" s="34"/>
    </row>
    <row r="25" spans="2:13">
      <c r="B25" s="33"/>
      <c r="C25" s="34"/>
    </row>
    <row r="26" spans="2:13">
      <c r="B26" s="37"/>
      <c r="C26" s="34"/>
      <c r="E26" s="33"/>
      <c r="F26" s="34"/>
    </row>
    <row r="27" spans="2:13">
      <c r="B27" s="37"/>
      <c r="C27" s="34"/>
      <c r="E27" s="33"/>
      <c r="F27" s="34"/>
    </row>
    <row r="28" spans="2:13">
      <c r="B28" s="37"/>
      <c r="C28" s="34"/>
      <c r="E28" s="33"/>
      <c r="F28" s="34"/>
    </row>
    <row r="29" spans="2:13">
      <c r="B29" s="37"/>
      <c r="C29" s="34"/>
      <c r="E29" s="33"/>
      <c r="F29" s="34"/>
      <c r="M29" s="41"/>
    </row>
    <row r="30" spans="2:13">
      <c r="B30" s="37"/>
      <c r="C30" s="34"/>
      <c r="E30" s="33"/>
      <c r="F30" s="34"/>
      <c r="M30" s="41"/>
    </row>
    <row r="31" spans="2:13">
      <c r="B31" s="37"/>
      <c r="C31" s="34"/>
      <c r="E31" s="33"/>
      <c r="F31" s="34"/>
      <c r="M31" s="41"/>
    </row>
    <row r="32" spans="2:13">
      <c r="B32" s="37"/>
      <c r="C32" s="34"/>
      <c r="E32" s="33"/>
      <c r="F32" s="34"/>
      <c r="M32" s="41"/>
    </row>
    <row r="33" spans="2:13">
      <c r="B33" s="37"/>
      <c r="C33" s="34"/>
      <c r="E33" s="33"/>
      <c r="F33" s="34"/>
      <c r="M33" s="41"/>
    </row>
    <row r="34" spans="2:13">
      <c r="B34" s="37"/>
      <c r="C34" s="34"/>
      <c r="E34" s="33"/>
      <c r="F34" s="34"/>
      <c r="M34" s="41"/>
    </row>
    <row r="35" spans="2:13">
      <c r="B35" s="40"/>
      <c r="C35" s="34"/>
      <c r="E35" s="33"/>
      <c r="F35" s="34"/>
      <c r="M35" s="41"/>
    </row>
    <row r="36" spans="2:13">
      <c r="B36" s="33"/>
      <c r="C36" s="34"/>
      <c r="E36" s="33"/>
      <c r="F36" s="34"/>
      <c r="M36" s="41"/>
    </row>
    <row r="37" spans="2:13">
      <c r="B37" s="33"/>
      <c r="C37" s="34"/>
      <c r="E37" s="33"/>
      <c r="F37" s="34"/>
      <c r="M37" s="41"/>
    </row>
    <row r="38" spans="2:13">
      <c r="B38" s="33"/>
      <c r="C38" s="34"/>
      <c r="E38" s="33"/>
      <c r="F38" s="34"/>
      <c r="M38" s="41"/>
    </row>
    <row r="39" spans="2:13">
      <c r="B39" s="33"/>
      <c r="C39" s="34"/>
      <c r="E39" s="33"/>
      <c r="F39" s="34"/>
      <c r="M39" s="41"/>
    </row>
    <row r="40" spans="2:13">
      <c r="B40" s="33"/>
      <c r="C40" s="34"/>
      <c r="E40" s="33"/>
      <c r="F40" s="34"/>
      <c r="M40" s="41"/>
    </row>
    <row r="41" spans="2:13">
      <c r="B41" s="33"/>
      <c r="C41" s="34"/>
    </row>
    <row r="42" spans="2:13">
      <c r="B42" s="33"/>
      <c r="C42" s="34"/>
    </row>
    <row r="43" spans="2:13">
      <c r="B43" s="33"/>
      <c r="C43" s="34"/>
    </row>
    <row r="44" spans="2:13">
      <c r="B44" s="33"/>
      <c r="C44" s="34"/>
    </row>
    <row r="45" spans="2:13">
      <c r="B45" s="33"/>
    </row>
    <row r="46" spans="2:13">
      <c r="B46" s="33"/>
    </row>
    <row r="47" spans="2:13">
      <c r="B47" s="33"/>
    </row>
    <row r="48" spans="2:13">
      <c r="B48" s="33"/>
    </row>
    <row r="49" spans="2:2">
      <c r="B49" s="33"/>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aveCurveObjToTextFile">
                <anchor moveWithCells="1" sizeWithCells="1">
                  <from>
                    <xdr:col>3</xdr:col>
                    <xdr:colOff>12700</xdr:colOff>
                    <xdr:row>4</xdr:row>
                    <xdr:rowOff>0</xdr:rowOff>
                  </from>
                  <to>
                    <xdr:col>6</xdr:col>
                    <xdr:colOff>292100</xdr:colOff>
                    <xdr:row>6</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vt:lpstr>
      <vt:lpstr>INPUT</vt:lpstr>
      <vt:lpstr>OUTPUT</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Rick Strand</dc:creator>
  <cp:keywords/>
  <dc:description>Based on HVAC Curve Fit Tool by Bereket</dc:description>
  <cp:lastModifiedBy>Richard Strand</cp:lastModifiedBy>
  <dcterms:created xsi:type="dcterms:W3CDTF">2006-09-16T00:00:00Z</dcterms:created>
  <dcterms:modified xsi:type="dcterms:W3CDTF">2014-05-19T16:19:01Z</dcterms:modified>
  <cp:category/>
</cp:coreProperties>
</file>